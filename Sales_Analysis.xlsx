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mc:AlternateContent xmlns:mc="http://schemas.openxmlformats.org/markup-compatibility/2006">
    <mc:Choice Requires="x15">
      <x15ac:absPath xmlns:x15ac="http://schemas.microsoft.com/office/spreadsheetml/2010/11/ac" url="D:\gitfolder\Excel\"/>
    </mc:Choice>
  </mc:AlternateContent>
  <xr:revisionPtr revIDLastSave="0" documentId="13_ncr:1_{4A2E030F-B37F-4B9E-8AD7-CA7B4EF7E2A9}"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Sales_Data" sheetId="1" r:id="rId2"/>
  </sheets>
  <definedNames>
    <definedName name="_xlcn.WorksheetConnection_Sales_Dataset_100_Rows.xlsxTable11" hidden="1">Table1[]</definedName>
    <definedName name="Slicer_Category">#N/A</definedName>
    <definedName name="Slicer_Region">#N/A</definedName>
    <definedName name="Slicer_Salesperson">#N/A</definedName>
    <definedName name="Slicer_Total_Sales">#N/A</definedName>
  </definedNames>
  <calcPr calcId="191029"/>
  <pivotCaches>
    <pivotCache cacheId="5" r:id="rId3"/>
    <pivotCache cacheId="6" r:id="rId4"/>
    <pivotCache cacheId="7" r:id="rId5"/>
    <pivotCache cacheId="8" r:id="rId6"/>
    <pivotCache cacheId="9"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5:slicerCaches>
    </ext>
    <ext xmlns:x15="http://schemas.microsoft.com/office/spreadsheetml/2010/11/main" uri="{FCE2AD5D-F65C-4FA6-A056-5C36A1767C68}">
      <x15:dataModel>
        <x15:modelTables>
          <x15:modelTable id="Table1" name="Table1" connection="WorksheetConnection_Sales_Dataset_100_Row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8" i="1" l="1"/>
  <c r="S33" i="1"/>
  <c r="M29" i="1"/>
  <c r="S35" i="1" s="1"/>
  <c r="S29" i="1"/>
  <c r="S39" i="1" s="1"/>
  <c r="M44" i="1"/>
  <c r="S37" i="1" s="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3" i="1"/>
  <c r="J4" i="1"/>
  <c r="J5" i="1"/>
  <c r="J6" i="1"/>
  <c r="J7" i="1"/>
  <c r="J8" i="1"/>
  <c r="J9" i="1"/>
  <c r="J10" i="1"/>
  <c r="J11" i="1"/>
  <c r="J12" i="1"/>
  <c r="J13" i="1"/>
  <c r="J14" i="1"/>
  <c r="J15" i="1"/>
  <c r="J16" i="1"/>
  <c r="J17" i="1"/>
  <c r="J18" i="1"/>
  <c r="J19"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20A8C5-7EDC-45EB-8EC9-C0925B2FC2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7DEE16-87A6-46EB-9E33-A744EB5D7F70}" name="WorksheetConnection_Sales_Dataset_100_Rows.xlsx!Table1" type="102" refreshedVersion="8" minRefreshableVersion="5">
    <extLst>
      <ext xmlns:x15="http://schemas.microsoft.com/office/spreadsheetml/2010/11/main" uri="{DE250136-89BD-433C-8126-D09CA5730AF9}">
        <x15:connection id="Table1" autoDelete="1">
          <x15:rangePr sourceName="_xlcn.WorksheetConnection_Sales_Dataset_100_Rows.xlsxTable11"/>
        </x15:connection>
      </ext>
    </extLst>
  </connection>
</connections>
</file>

<file path=xl/sharedStrings.xml><?xml version="1.0" encoding="utf-8"?>
<sst xmlns="http://schemas.openxmlformats.org/spreadsheetml/2006/main" count="563" uniqueCount="113">
  <si>
    <t>Order_ID</t>
  </si>
  <si>
    <t>Date</t>
  </si>
  <si>
    <t>Region</t>
  </si>
  <si>
    <t>Salesperson</t>
  </si>
  <si>
    <t>Product</t>
  </si>
  <si>
    <t>Category</t>
  </si>
  <si>
    <t>Units_Sold</t>
  </si>
  <si>
    <t>Unit_Price</t>
  </si>
  <si>
    <t>2024-01-13</t>
  </si>
  <si>
    <t>East</t>
  </si>
  <si>
    <t>Anil</t>
  </si>
  <si>
    <t>Mobile</t>
  </si>
  <si>
    <t>Electronics</t>
  </si>
  <si>
    <t>2024-01-30</t>
  </si>
  <si>
    <t>Table</t>
  </si>
  <si>
    <t>Furniture</t>
  </si>
  <si>
    <t>South</t>
  </si>
  <si>
    <t>Sofa</t>
  </si>
  <si>
    <t>2024-01-15</t>
  </si>
  <si>
    <t>West</t>
  </si>
  <si>
    <t>2024-03-16</t>
  </si>
  <si>
    <t>Priya</t>
  </si>
  <si>
    <t>Printer</t>
  </si>
  <si>
    <t>2024-02-29</t>
  </si>
  <si>
    <t>Chair</t>
  </si>
  <si>
    <t>2024-01-26</t>
  </si>
  <si>
    <t>North</t>
  </si>
  <si>
    <t>2024-02-09</t>
  </si>
  <si>
    <t>2024-01-27</t>
  </si>
  <si>
    <t>Karthik</t>
  </si>
  <si>
    <t>2024-01-17</t>
  </si>
  <si>
    <t>Ravi</t>
  </si>
  <si>
    <t>2024-02-03</t>
  </si>
  <si>
    <t>2024-02-12</t>
  </si>
  <si>
    <t>Laptop</t>
  </si>
  <si>
    <t>2024-02-16</t>
  </si>
  <si>
    <t>2024-01-23</t>
  </si>
  <si>
    <t>2024-03-29</t>
  </si>
  <si>
    <t>2024-01-10</t>
  </si>
  <si>
    <t>2024-03-08</t>
  </si>
  <si>
    <t>2024-02-20</t>
  </si>
  <si>
    <t>2024-01-05</t>
  </si>
  <si>
    <t>2024-03-22</t>
  </si>
  <si>
    <t>2024-03-04</t>
  </si>
  <si>
    <t>2024-01-08</t>
  </si>
  <si>
    <t>2024-03-13</t>
  </si>
  <si>
    <t>2024-03-07</t>
  </si>
  <si>
    <t>2024-03-25</t>
  </si>
  <si>
    <t>2024-03-12</t>
  </si>
  <si>
    <t>2024-02-19</t>
  </si>
  <si>
    <t>2024-01-19</t>
  </si>
  <si>
    <t>2024-02-23</t>
  </si>
  <si>
    <t>2024-03-10</t>
  </si>
  <si>
    <t>2024-02-11</t>
  </si>
  <si>
    <t>2024-02-25</t>
  </si>
  <si>
    <t>2024-01-04</t>
  </si>
  <si>
    <t>2024-02-01</t>
  </si>
  <si>
    <t>2024-01-22</t>
  </si>
  <si>
    <t>2024-02-15</t>
  </si>
  <si>
    <t>2024-03-18</t>
  </si>
  <si>
    <t>2024-01-25</t>
  </si>
  <si>
    <t>2024-03-21</t>
  </si>
  <si>
    <t>2024-02-04</t>
  </si>
  <si>
    <t>2024-02-14</t>
  </si>
  <si>
    <t>2024-02-06</t>
  </si>
  <si>
    <t>2024-01-11</t>
  </si>
  <si>
    <t>2024-01-18</t>
  </si>
  <si>
    <t>2024-01-21</t>
  </si>
  <si>
    <t>2024-01-20</t>
  </si>
  <si>
    <t>2024-01-31</t>
  </si>
  <si>
    <t>2024-03-03</t>
  </si>
  <si>
    <t>2024-02-26</t>
  </si>
  <si>
    <t>2024-01-09</t>
  </si>
  <si>
    <t>2024-01-24</t>
  </si>
  <si>
    <t>2024-01-06</t>
  </si>
  <si>
    <t>2024-03-30</t>
  </si>
  <si>
    <t>2024-02-21</t>
  </si>
  <si>
    <t>2024-01-12</t>
  </si>
  <si>
    <t>2024-02-18</t>
  </si>
  <si>
    <t>2024-01-02</t>
  </si>
  <si>
    <t>2024-01-03</t>
  </si>
  <si>
    <t>2024-03-31</t>
  </si>
  <si>
    <t>2024-01-28</t>
  </si>
  <si>
    <t>2024-02-02</t>
  </si>
  <si>
    <t>2024-02-22</t>
  </si>
  <si>
    <t>2024-02-05</t>
  </si>
  <si>
    <t>2024-02-17</t>
  </si>
  <si>
    <t>2024-03-09</t>
  </si>
  <si>
    <t>2024-01-01</t>
  </si>
  <si>
    <t>2024-02-27</t>
  </si>
  <si>
    <t>2024-02-13</t>
  </si>
  <si>
    <t>Row Labels</t>
  </si>
  <si>
    <t>Grand Total</t>
  </si>
  <si>
    <t>Total_Sales</t>
  </si>
  <si>
    <t>Month</t>
  </si>
  <si>
    <t>Sum of Total_Sales</t>
  </si>
  <si>
    <t>Sales By Region</t>
  </si>
  <si>
    <t>Sales by Product</t>
  </si>
  <si>
    <t>Sales by month</t>
  </si>
  <si>
    <t>Salesperson Performance</t>
  </si>
  <si>
    <t>Total sales</t>
  </si>
  <si>
    <t>Which product gives high revenue</t>
  </si>
  <si>
    <t>Maximum by total_sales</t>
  </si>
  <si>
    <t>Who is the top salesperson</t>
  </si>
  <si>
    <t>Maximum by salesperson</t>
  </si>
  <si>
    <t>Sum of Units_Sold</t>
  </si>
  <si>
    <t>Sales by category</t>
  </si>
  <si>
    <t>maximum by total sales</t>
  </si>
  <si>
    <t>Which region sells more?</t>
  </si>
  <si>
    <t>Conclusion</t>
  </si>
  <si>
    <t>North region contributes highest sales.</t>
  </si>
  <si>
    <t>Electronics generate more revenue than furniture</t>
  </si>
  <si>
    <t>Sales peak in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</si>
</sst>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2"/>
      <color theme="1"/>
      <name val="Calibri"/>
      <family val="2"/>
      <scheme val="minor"/>
    </font>
    <font>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left"/>
    </xf>
    <xf numFmtId="0" fontId="3" fillId="0" borderId="0" xfId="0" applyFont="1"/>
    <xf numFmtId="0" fontId="1" fillId="0" borderId="0" xfId="0" applyFont="1" applyAlignment="1">
      <alignment horizontal="center"/>
    </xf>
    <xf numFmtId="0" fontId="0" fillId="0" borderId="0" xfId="0" applyAlignment="1">
      <alignment horizontal="center"/>
    </xf>
    <xf numFmtId="0" fontId="2" fillId="0" borderId="0" xfId="0" applyFont="1" applyAlignment="1">
      <alignment horizontal="center"/>
    </xf>
  </cellXfs>
  <cellStyles count="1">
    <cellStyle name="Normal" xfId="0" builtinId="0"/>
  </cellStyles>
  <dxfs count="5">
    <dxf>
      <font>
        <b/>
        <i val="0"/>
        <strike val="0"/>
        <condense val="0"/>
        <extend val="0"/>
        <outline val="0"/>
        <shadow val="0"/>
        <u val="none"/>
        <vertAlign val="baseline"/>
        <sz val="11"/>
        <color theme="1"/>
        <name val="Calibri"/>
        <family val="2"/>
        <scheme val="minor"/>
      </font>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[Sales_Analysis.xlsx]Sheet1!PivotTable15</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Sum of Units_Sold by Region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Sheet1!$A$4:$A$7</c:f>
              <c:strCache>
                <c:ptCount val="4"/>
                <c:pt idx="0">
                  <c:v>East</c:v>
                </c:pt>
                <c:pt idx="1">
                  <c:v>North</c:v>
                </c:pt>
                <c:pt idx="2">
                  <c:v>South</c:v>
                </c:pt>
                <c:pt idx="3">
                  <c:v>West</c:v>
                </c:pt>
              </c:strCache>
            </c:strRef>
          </c:cat>
          <c:val>
            <c:numRef>
              <c:f>Sheet1!$B$4:$B$7</c:f>
              <c:numCache>
                <c:formatCode>General</c:formatCode>
                <c:ptCount val="4"/>
                <c:pt idx="0">
                  <c:v>80</c:v>
                </c:pt>
                <c:pt idx="1">
                  <c:v>83</c:v>
                </c:pt>
                <c:pt idx="2">
                  <c:v>90</c:v>
                </c:pt>
                <c:pt idx="3">
                  <c:v>88</c:v>
                </c:pt>
              </c:numCache>
            </c:numRef>
          </c:val>
          <c:extLst>
            <c:ext xmlns:c16="http://schemas.microsoft.com/office/drawing/2014/chart" uri="{C3380CC4-5D6E-409C-BE32-E72D297353CC}">
              <c16:uniqueId val="{00000000-E005-4972-ACE5-2C548B333D8C}"/>
            </c:ext>
          </c:extLst>
        </c:ser>
        <c:dLbls>
          <c:showLegendKey val="0"/>
          <c:showVal val="0"/>
          <c:showCatName val="0"/>
          <c:showSerName val="0"/>
          <c:showPercent val="0"/>
          <c:showBubbleSize val="0"/>
        </c:dLbls>
        <c:gapWidth val="100"/>
        <c:overlap val="-24"/>
        <c:axId val="1555829136"/>
        <c:axId val="1555830576"/>
      </c:barChart>
      <c:catAx>
        <c:axId val="155582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55830576"/>
        <c:crosses val="autoZero"/>
        <c:auto val="1"/>
        <c:lblAlgn val="ctr"/>
        <c:lblOffset val="100"/>
        <c:noMultiLvlLbl val="0"/>
      </c:catAx>
      <c:valAx>
        <c:axId val="1555830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558291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[Sales_Analysis.xlsx]Sales_Data!PivotTable3</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Product</a:t>
            </a:r>
            <a:r>
              <a:rPr lang="en-US" baseline="0"/>
              <a:t>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Sales_Data!$M$35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Sales_Data!$L$36:$L$42</c:f>
              <c:strCache>
                <c:ptCount val="6"/>
                <c:pt idx="0">
                  <c:v>Chair</c:v>
                </c:pt>
                <c:pt idx="1">
                  <c:v>Laptop</c:v>
                </c:pt>
                <c:pt idx="2">
                  <c:v>Mobile</c:v>
                </c:pt>
                <c:pt idx="3">
                  <c:v>Printer</c:v>
                </c:pt>
                <c:pt idx="4">
                  <c:v>Sofa</c:v>
                </c:pt>
                <c:pt idx="5">
                  <c:v>Table</c:v>
                </c:pt>
              </c:strCache>
            </c:strRef>
          </c:cat>
          <c:val>
            <c:numRef>
              <c:f>Sales_Data!$M$36:$M$42</c:f>
              <c:numCache>
                <c:formatCode>General</c:formatCode>
                <c:ptCount val="6"/>
                <c:pt idx="0">
                  <c:v>274500</c:v>
                </c:pt>
                <c:pt idx="1">
                  <c:v>1705000</c:v>
                </c:pt>
                <c:pt idx="2">
                  <c:v>1200000</c:v>
                </c:pt>
                <c:pt idx="3">
                  <c:v>648000</c:v>
                </c:pt>
                <c:pt idx="4">
                  <c:v>1725000</c:v>
                </c:pt>
                <c:pt idx="5">
                  <c:v>561000</c:v>
                </c:pt>
              </c:numCache>
            </c:numRef>
          </c:val>
          <c:smooth val="0"/>
          <c:extLst>
            <c:ext xmlns:c16="http://schemas.microsoft.com/office/drawing/2014/chart" uri="{C3380CC4-5D6E-409C-BE32-E72D297353CC}">
              <c16:uniqueId val="{00000000-A1DB-4559-A7F4-28986DD3F8A0}"/>
            </c:ext>
          </c:extLst>
        </c:ser>
        <c:dLbls>
          <c:showLegendKey val="0"/>
          <c:showVal val="0"/>
          <c:showCatName val="0"/>
          <c:showSerName val="0"/>
          <c:showPercent val="0"/>
          <c:showBubbleSize val="0"/>
        </c:dLbls>
        <c:marker val="1"/>
        <c:smooth val="0"/>
        <c:axId val="1812615648"/>
        <c:axId val="1812616128"/>
      </c:lineChart>
      <c:catAx>
        <c:axId val="18126156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2616128"/>
        <c:crosses val="autoZero"/>
        <c:auto val="1"/>
        <c:lblAlgn val="ctr"/>
        <c:lblOffset val="100"/>
        <c:noMultiLvlLbl val="0"/>
      </c:catAx>
      <c:valAx>
        <c:axId val="1812616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261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[Sales_Analysis.xlsx]Sales_Data!PivotTable4</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Total sales per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Sales_Data!$P$22</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cat>
            <c:strRef>
              <c:f>Sales_Data!$O$23:$O$26</c:f>
              <c:strCache>
                <c:ptCount val="3"/>
                <c:pt idx="0">
                  <c:v>1</c:v>
                </c:pt>
                <c:pt idx="1">
                  <c:v>2</c:v>
                </c:pt>
                <c:pt idx="2">
                  <c:v>3</c:v>
                </c:pt>
              </c:strCache>
            </c:strRef>
          </c:cat>
          <c:val>
            <c:numRef>
              <c:f>Sales_Data!$P$23:$P$26</c:f>
              <c:numCache>
                <c:formatCode>General</c:formatCode>
                <c:ptCount val="3"/>
                <c:pt idx="0">
                  <c:v>2002000</c:v>
                </c:pt>
                <c:pt idx="1">
                  <c:v>1856000</c:v>
                </c:pt>
                <c:pt idx="2">
                  <c:v>2255500</c:v>
                </c:pt>
              </c:numCache>
            </c:numRef>
          </c:val>
          <c:smooth val="0"/>
          <c:extLst>
            <c:ext xmlns:c16="http://schemas.microsoft.com/office/drawing/2014/chart" uri="{C3380CC4-5D6E-409C-BE32-E72D297353CC}">
              <c16:uniqueId val="{00000000-05A2-4B57-B5A2-2ED17688DD1F}"/>
            </c:ext>
          </c:extLst>
        </c:ser>
        <c:dLbls>
          <c:showLegendKey val="0"/>
          <c:showVal val="0"/>
          <c:showCatName val="0"/>
          <c:showSerName val="0"/>
          <c:showPercent val="0"/>
          <c:showBubbleSize val="0"/>
        </c:dLbls>
        <c:axId val="1598238208"/>
        <c:axId val="1598235328"/>
        <c:axId val="1786217728"/>
      </c:line3DChart>
      <c:catAx>
        <c:axId val="159823820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Month</a:t>
                </a:r>
              </a:p>
            </c:rich>
          </c:tx>
          <c:layout>
            <c:manualLayout>
              <c:xMode val="edge"/>
              <c:yMode val="edge"/>
              <c:x val="0.40846434820647426"/>
              <c:y val="0.79611800708317559"/>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8235328"/>
        <c:crosses val="autoZero"/>
        <c:auto val="1"/>
        <c:lblAlgn val="ctr"/>
        <c:lblOffset val="100"/>
        <c:noMultiLvlLbl val="0"/>
      </c:catAx>
      <c:valAx>
        <c:axId val="159823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Total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8238208"/>
        <c:crosses val="autoZero"/>
        <c:crossBetween val="between"/>
      </c:valAx>
      <c:serAx>
        <c:axId val="1786217728"/>
        <c:scaling>
          <c:orientation val="minMax"/>
        </c:scaling>
        <c:delete val="0"/>
        <c:axPos val="b"/>
        <c:title>
          <c:tx>
            <c:rich>
              <a:bodyPr rot="-5400000" spcFirstLastPara="1" vertOverflow="ellipsis"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IN"/>
                  <a:t> </a:t>
                </a:r>
              </a:p>
            </c:rich>
          </c:tx>
          <c:overlay val="0"/>
          <c:spPr>
            <a:noFill/>
            <a:ln>
              <a:noFill/>
            </a:ln>
            <a:effectLst/>
          </c:spPr>
          <c:txPr>
            <a:bodyPr rot="-5400000" spcFirstLastPara="1" vertOverflow="ellipsis"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982353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[Sales_Analysis.xlsx]Sales_Data!PivotTable60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25400">
            <a:solidFill>
              <a:schemeClr val="lt1"/>
            </a:solidFill>
          </a:ln>
          <a:effectLst/>
          <a:sp3d contourW="25400">
            <a:contourClr>
              <a:schemeClr val="lt1"/>
            </a:contourClr>
          </a:sp3d>
        </c:spPr>
      </c:pivotFmt>
      <c:pivotFmt>
        <c:idx val="2"/>
        <c:spPr>
          <a:solidFill>
            <a:srgbClr val="00B0F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Sales_Data!$P$35</c:f>
              <c:strCache>
                <c:ptCount val="1"/>
                <c:pt idx="0">
                  <c:v>Total</c:v>
                </c:pt>
              </c:strCache>
            </c:strRef>
          </c:tx>
          <c:dPt>
            <c:idx val="0"/>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96-4C6D-A9FA-A7961B2DC77E}"/>
              </c:ext>
            </c:extLst>
          </c:dPt>
          <c:dPt>
            <c:idx val="1"/>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2-4996-4C6D-A9FA-A7961B2DC77E}"/>
              </c:ext>
            </c:extLst>
          </c:dPt>
          <c:cat>
            <c:strRef>
              <c:f>Sales_Data!$O$36:$O$38</c:f>
              <c:strCache>
                <c:ptCount val="2"/>
                <c:pt idx="0">
                  <c:v>Electronics</c:v>
                </c:pt>
                <c:pt idx="1">
                  <c:v>Furniture</c:v>
                </c:pt>
              </c:strCache>
            </c:strRef>
          </c:cat>
          <c:val>
            <c:numRef>
              <c:f>Sales_Data!$P$36:$P$38</c:f>
              <c:numCache>
                <c:formatCode>General</c:formatCode>
                <c:ptCount val="2"/>
                <c:pt idx="0">
                  <c:v>3553000</c:v>
                </c:pt>
                <c:pt idx="1">
                  <c:v>2560500</c:v>
                </c:pt>
              </c:numCache>
            </c:numRef>
          </c:val>
          <c:extLst>
            <c:ext xmlns:c16="http://schemas.microsoft.com/office/drawing/2014/chart" uri="{C3380CC4-5D6E-409C-BE32-E72D297353CC}">
              <c16:uniqueId val="{00000000-4996-4C6D-A9FA-A7961B2DC77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1082429</xdr:colOff>
      <xdr:row>48</xdr:row>
      <xdr:rowOff>9407</xdr:rowOff>
    </xdr:from>
    <xdr:to>
      <xdr:col>13</xdr:col>
      <xdr:colOff>1095376</xdr:colOff>
      <xdr:row>68</xdr:row>
      <xdr:rowOff>47625</xdr:rowOff>
    </xdr:to>
    <xdr:graphicFrame macro="">
      <xdr:nvGraphicFramePr>
        <xdr:cNvPr id="2" name="Chart 1">
          <a:extLst>
            <a:ext uri="{FF2B5EF4-FFF2-40B4-BE49-F238E27FC236}">
              <a16:creationId xmlns:a16="http://schemas.microsoft.com/office/drawing/2014/main" id="{476483F4-C989-4382-8FA1-E99950CBE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1545672</xdr:colOff>
      <xdr:row>48</xdr:row>
      <xdr:rowOff>294</xdr:rowOff>
    </xdr:from>
    <xdr:to>
      <xdr:col>18</xdr:col>
      <xdr:colOff>968375</xdr:colOff>
      <xdr:row>67</xdr:row>
      <xdr:rowOff>126999</xdr:rowOff>
    </xdr:to>
    <xdr:graphicFrame macro="">
      <xdr:nvGraphicFramePr>
        <xdr:cNvPr id="6" name="Chart 5">
          <a:extLst>
            <a:ext uri="{FF2B5EF4-FFF2-40B4-BE49-F238E27FC236}">
              <a16:creationId xmlns:a16="http://schemas.microsoft.com/office/drawing/2014/main" id="{FCFA062E-F005-3649-2198-068AEE181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1091269</xdr:colOff>
      <xdr:row>71</xdr:row>
      <xdr:rowOff>50591</xdr:rowOff>
    </xdr:from>
    <xdr:to>
      <xdr:col>13</xdr:col>
      <xdr:colOff>1083972</xdr:colOff>
      <xdr:row>91</xdr:row>
      <xdr:rowOff>142875</xdr:rowOff>
    </xdr:to>
    <xdr:graphicFrame macro="">
      <xdr:nvGraphicFramePr>
        <xdr:cNvPr id="9" name="Chart 8">
          <a:extLst>
            <a:ext uri="{FF2B5EF4-FFF2-40B4-BE49-F238E27FC236}">
              <a16:creationId xmlns:a16="http://schemas.microsoft.com/office/drawing/2014/main" id="{F48CD51E-A2D6-AAE3-B679-CC0FC3C23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1534733</xdr:colOff>
      <xdr:row>71</xdr:row>
      <xdr:rowOff>5790</xdr:rowOff>
    </xdr:from>
    <xdr:to>
      <xdr:col>18</xdr:col>
      <xdr:colOff>968375</xdr:colOff>
      <xdr:row>91</xdr:row>
      <xdr:rowOff>85859</xdr:rowOff>
    </xdr:to>
    <xdr:graphicFrame macro="">
      <xdr:nvGraphicFramePr>
        <xdr:cNvPr id="10" name="Chart 9">
          <a:extLst>
            <a:ext uri="{FF2B5EF4-FFF2-40B4-BE49-F238E27FC236}">
              <a16:creationId xmlns:a16="http://schemas.microsoft.com/office/drawing/2014/main" id="{354BA196-92A5-B688-649F-9DFC620D2E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11</xdr:col>
      <xdr:colOff>4779993</xdr:colOff>
      <xdr:row>2</xdr:row>
      <xdr:rowOff>30606</xdr:rowOff>
    </xdr:from>
    <xdr:to>
      <xdr:col>12</xdr:col>
      <xdr:colOff>506222</xdr:colOff>
      <xdr:row>15</xdr:row>
      <xdr:rowOff>143680</xdr:rowOff>
    </xdr:to>
    <mc:AlternateContent xmlns:mc="http://schemas.openxmlformats.org/markup-compatibility/2006" xmlns:sle15="http://schemas.microsoft.com/office/drawing/2012/slicer">
      <mc:Choice Requires="sle15">
        <xdr:graphicFrame macro="">
          <xdr:nvGraphicFramePr>
            <xdr:cNvPr id="11" name="Region">
              <a:extLst>
                <a:ext uri="{FF2B5EF4-FFF2-40B4-BE49-F238E27FC236}">
                  <a16:creationId xmlns:a16="http://schemas.microsoft.com/office/drawing/2014/main" id="{C0D68E8D-BF83-2B83-A0F4-A4BF29DC4AB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08106" y="395507"/>
              <a:ext cx="1832961" cy="248493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908893</xdr:colOff>
      <xdr:row>2</xdr:row>
      <xdr:rowOff>94850</xdr:rowOff>
    </xdr:from>
    <xdr:to>
      <xdr:col>17</xdr:col>
      <xdr:colOff>282135</xdr:colOff>
      <xdr:row>15</xdr:row>
      <xdr:rowOff>122296</xdr:rowOff>
    </xdr:to>
    <mc:AlternateContent xmlns:mc="http://schemas.openxmlformats.org/markup-compatibility/2006" xmlns:sle15="http://schemas.microsoft.com/office/drawing/2012/slicer">
      <mc:Choice Requires="sle15">
        <xdr:graphicFrame macro="">
          <xdr:nvGraphicFramePr>
            <xdr:cNvPr id="12" name="Salesperson">
              <a:extLst>
                <a:ext uri="{FF2B5EF4-FFF2-40B4-BE49-F238E27FC236}">
                  <a16:creationId xmlns:a16="http://schemas.microsoft.com/office/drawing/2014/main" id="{B458BA0C-C783-D10C-193E-886E13027D6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4047935" y="459751"/>
              <a:ext cx="1830961" cy="239930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306018</xdr:colOff>
      <xdr:row>2</xdr:row>
      <xdr:rowOff>77358</xdr:rowOff>
    </xdr:from>
    <xdr:to>
      <xdr:col>15</xdr:col>
      <xdr:colOff>471753</xdr:colOff>
      <xdr:row>15</xdr:row>
      <xdr:rowOff>121856</xdr:rowOff>
    </xdr:to>
    <mc:AlternateContent xmlns:mc="http://schemas.openxmlformats.org/markup-compatibility/2006" xmlns:sle15="http://schemas.microsoft.com/office/drawing/2012/slicer">
      <mc:Choice Requires="sle15">
        <xdr:graphicFrame macro="">
          <xdr:nvGraphicFramePr>
            <xdr:cNvPr id="13" name="Category">
              <a:extLst>
                <a:ext uri="{FF2B5EF4-FFF2-40B4-BE49-F238E27FC236}">
                  <a16:creationId xmlns:a16="http://schemas.microsoft.com/office/drawing/2014/main" id="{BCDF100B-3065-87CE-FB7C-EBB774B322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1781539" y="442259"/>
              <a:ext cx="1829256" cy="241635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983873</xdr:colOff>
      <xdr:row>2</xdr:row>
      <xdr:rowOff>45202</xdr:rowOff>
    </xdr:from>
    <xdr:to>
      <xdr:col>13</xdr:col>
      <xdr:colOff>1018697</xdr:colOff>
      <xdr:row>15</xdr:row>
      <xdr:rowOff>155947</xdr:rowOff>
    </xdr:to>
    <mc:AlternateContent xmlns:mc="http://schemas.openxmlformats.org/markup-compatibility/2006" xmlns:sle15="http://schemas.microsoft.com/office/drawing/2012/slicer">
      <mc:Choice Requires="sle15">
        <xdr:graphicFrame macro="">
          <xdr:nvGraphicFramePr>
            <xdr:cNvPr id="14" name="Total_Sales">
              <a:extLst>
                <a:ext uri="{FF2B5EF4-FFF2-40B4-BE49-F238E27FC236}">
                  <a16:creationId xmlns:a16="http://schemas.microsoft.com/office/drawing/2014/main" id="{9D6FD8D7-AF2E-096A-7B2C-73163C9AB32F}"/>
                </a:ext>
              </a:extLst>
            </xdr:cNvPr>
            <xdr:cNvGraphicFramePr/>
          </xdr:nvGraphicFramePr>
          <xdr:xfrm>
            <a:off x="0" y="0"/>
            <a:ext cx="0" cy="0"/>
          </xdr:xfrm>
          <a:graphic>
            <a:graphicData uri="http://schemas.microsoft.com/office/drawing/2010/slicer">
              <sle:slicer xmlns:sle="http://schemas.microsoft.com/office/drawing/2010/slicer" name="Total_Sales"/>
            </a:graphicData>
          </a:graphic>
        </xdr:graphicFrame>
      </mc:Choice>
      <mc:Fallback xmlns="">
        <xdr:sp macro="" textlink="">
          <xdr:nvSpPr>
            <xdr:cNvPr id="0" name=""/>
            <xdr:cNvSpPr>
              <a:spLocks noTextEdit="1"/>
            </xdr:cNvSpPr>
          </xdr:nvSpPr>
          <xdr:spPr>
            <a:xfrm>
              <a:off x="19518718" y="410103"/>
              <a:ext cx="1805669" cy="248260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 raj" refreshedDate="46023.371452430554" backgroundQuery="1" createdVersion="8" refreshedVersion="8" minRefreshableVersion="3" recordCount="0" supportSubquery="1" supportAdvancedDrill="1" xr:uid="{6A6F394B-B2D5-4401-92FD-78AE9F0DE233}">
  <cacheSource type="external" connectionId="1"/>
  <cacheFields count="2">
    <cacheField name="[Table1].[Region].[Region]" caption="Region" numFmtId="0" hierarchy="2" level="1">
      <sharedItems count="4">
        <s v="East"/>
        <s v="North"/>
        <s v="South"/>
        <s v="West"/>
      </sharedItems>
    </cacheField>
    <cacheField name="[Measures].[Sum of Total_Sales]" caption="Sum of Total_Sales" numFmtId="0" hierarchy="12" level="32767"/>
  </cacheFields>
  <cacheHierarchies count="13">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Salesperson]" caption="Salesperson" attribute="1" defaultMemberUniqueName="[Table1].[Salesperson].[All]" allUniqueName="[Table1].[Salesperson].[All]" dimensionUniqueName="[Table1]" displayFolder="" count="2"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 raj" refreshedDate="46023.37252986111" backgroundQuery="1" createdVersion="8" refreshedVersion="8" minRefreshableVersion="3" recordCount="0" supportSubquery="1" supportAdvancedDrill="1" xr:uid="{F93CD105-85F0-4141-989B-4E355EF07E37}">
  <cacheSource type="external" connectionId="1"/>
  <cacheFields count="2">
    <cacheField name="[Table1].[Product].[Product]" caption="Product" numFmtId="0" hierarchy="4" level="1">
      <sharedItems count="6">
        <s v="Chair"/>
        <s v="Laptop"/>
        <s v="Mobile"/>
        <s v="Printer"/>
        <s v="Sofa"/>
        <s v="Table"/>
      </sharedItems>
    </cacheField>
    <cacheField name="[Measures].[Sum of Total_Sales]" caption="Sum of Total_Sales" numFmtId="0" hierarchy="12" level="32767"/>
  </cacheFields>
  <cacheHierarchies count="13">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 raj" refreshedDate="46023.373642129627" backgroundQuery="1" createdVersion="8" refreshedVersion="8" minRefreshableVersion="3" recordCount="0" supportSubquery="1" supportAdvancedDrill="1" xr:uid="{EC05CE96-BDB2-4F62-A320-D2AC9BC247A6}">
  <cacheSource type="external" connectionId="1"/>
  <cacheFields count="2">
    <cacheField name="[Table1].[Month].[Month]" caption="Month" numFmtId="0" hierarchy="9"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able1].[Month].&amp;[1]"/>
            <x15:cachedUniqueName index="1" name="[Table1].[Month].&amp;[2]"/>
            <x15:cachedUniqueName index="2" name="[Table1].[Month].&amp;[3]"/>
          </x15:cachedUniqueNames>
        </ext>
      </extLst>
    </cacheField>
    <cacheField name="[Measures].[Sum of Total_Sales]" caption="Sum of Total_Sales" numFmtId="0" hierarchy="12" level="32767"/>
  </cacheFields>
  <cacheHierarchies count="13">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Table1].[Month]" caption="Month" attribute="1" defaultMemberUniqueName="[Table1].[Month].[All]" allUniqueName="[Table1].[Month].[All]" dimensionUniqueName="[Table1]" displayFolder="" count="2" memberValueDatatype="2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va raj" refreshedDate="46023.375051620373" backgroundQuery="1" createdVersion="8" refreshedVersion="8" minRefreshableVersion="3" recordCount="0" supportSubquery="1" supportAdvancedDrill="1" xr:uid="{65114DCD-2194-4C58-B0FC-37B4072DE2FC}">
  <cacheSource type="external" connectionId="1"/>
  <cacheFields count="2">
    <cacheField name="[Table1].[Salesperson].[Salesperson]" caption="Salesperson" numFmtId="0" hierarchy="3" level="1">
      <sharedItems count="4">
        <s v="Anil"/>
        <s v="Karthik"/>
        <s v="Priya"/>
        <s v="Ravi"/>
      </sharedItems>
    </cacheField>
    <cacheField name="[Measures].[Sum of Total_Sales]" caption="Sum of Total_Sales" numFmtId="0" hierarchy="12" level="32767"/>
  </cacheFields>
  <cacheHierarchies count="13">
    <cacheHierarchy uniqueName="[Table1].[Order_ID]" caption="Order_ID" attribute="1" defaultMemberUniqueName="[Table1].[Order_ID].[All]" allUniqueName="[Table1].[Order_ID].[All]" dimensionUniqueName="[Table1]" displayFolder="" count="0" memberValueDatatype="20" unbalanced="0"/>
    <cacheHierarchy uniqueName="[Table1].[Date]" caption="Date" attribute="1" defaultMemberUniqueName="[Table1].[Date].[All]" allUniqueName="[Table1].[D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alesperson]" caption="Salesperson" attribute="1" defaultMemberUniqueName="[Table1].[Salesperson].[All]" allUniqueName="[Table1].[Salesperson].[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Sales]" caption="Total_Sales" attribute="1" defaultMemberUniqueName="[Table1].[Total_Sales].[All]" allUniqueName="[Table1].[Total_Sales].[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Sales]" caption="Sum of Total_Sales"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va raj" refreshedDate="46023.416223263892" createdVersion="8" refreshedVersion="8" minRefreshableVersion="3" recordCount="100" xr:uid="{423A6142-5C11-4871-A773-4D0CE7C4F5BD}">
  <cacheSource type="worksheet">
    <worksheetSource name="Table1"/>
  </cacheSource>
  <cacheFields count="10">
    <cacheField name="Order_ID" numFmtId="0">
      <sharedItems containsSemiMixedTypes="0" containsString="0" containsNumber="1" containsInteger="1" minValue="1001" maxValue="1100"/>
    </cacheField>
    <cacheField name="Date" numFmtId="0">
      <sharedItems containsDate="1" containsMixedTypes="1" minDate="2024-01-13T00:00:00" maxDate="2024-01-14T00:00:00"/>
    </cacheField>
    <cacheField name="Region" numFmtId="0">
      <sharedItems count="4">
        <s v="East"/>
        <s v="South"/>
        <s v="West"/>
        <s v="North"/>
      </sharedItems>
    </cacheField>
    <cacheField name="Salesperson" numFmtId="0">
      <sharedItems/>
    </cacheField>
    <cacheField name="Product" numFmtId="0">
      <sharedItems/>
    </cacheField>
    <cacheField name="Category" numFmtId="0">
      <sharedItems count="2">
        <s v="Electronics"/>
        <s v="Furniture"/>
      </sharedItems>
    </cacheField>
    <cacheField name="Units_Sold" numFmtId="0">
      <sharedItems containsSemiMixedTypes="0" containsString="0" containsNumber="1" containsInteger="1" minValue="1" maxValue="6"/>
    </cacheField>
    <cacheField name="Unit_Price" numFmtId="0">
      <sharedItems containsSemiMixedTypes="0" containsString="0" containsNumber="1" containsInteger="1" minValue="4500" maxValue="55000"/>
    </cacheField>
    <cacheField name="Total_Sales" numFmtId="0">
      <sharedItems containsSemiMixedTypes="0" containsString="0" containsNumber="1" containsInteger="1" minValue="4500" maxValue="330000"/>
    </cacheField>
    <cacheField name="Month"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d v="2024-01-13T00:00:00"/>
    <x v="0"/>
    <s v="Anil"/>
    <s v="Mobile"/>
    <x v="0"/>
    <n v="5"/>
    <n v="20000"/>
    <n v="100000"/>
    <n v="1"/>
  </r>
  <r>
    <n v="1002"/>
    <s v="2024-01-30"/>
    <x v="0"/>
    <s v="Anil"/>
    <s v="Table"/>
    <x v="1"/>
    <n v="5"/>
    <n v="8500"/>
    <n v="42500"/>
    <n v="1"/>
  </r>
  <r>
    <n v="1003"/>
    <s v="2024-01-13"/>
    <x v="1"/>
    <s v="Anil"/>
    <s v="Sofa"/>
    <x v="1"/>
    <n v="6"/>
    <n v="25000"/>
    <n v="150000"/>
    <n v="1"/>
  </r>
  <r>
    <n v="1004"/>
    <s v="2024-01-15"/>
    <x v="2"/>
    <s v="Anil"/>
    <s v="Table"/>
    <x v="1"/>
    <n v="6"/>
    <n v="8500"/>
    <n v="51000"/>
    <n v="1"/>
  </r>
  <r>
    <n v="1005"/>
    <s v="2024-03-16"/>
    <x v="2"/>
    <s v="Priya"/>
    <s v="Printer"/>
    <x v="0"/>
    <n v="5"/>
    <n v="12000"/>
    <n v="60000"/>
    <n v="3"/>
  </r>
  <r>
    <n v="1006"/>
    <s v="2024-02-29"/>
    <x v="0"/>
    <s v="Priya"/>
    <s v="Chair"/>
    <x v="1"/>
    <n v="4"/>
    <n v="4500"/>
    <n v="18000"/>
    <n v="2"/>
  </r>
  <r>
    <n v="1007"/>
    <s v="2024-01-26"/>
    <x v="3"/>
    <s v="Anil"/>
    <s v="Mobile"/>
    <x v="0"/>
    <n v="5"/>
    <n v="20000"/>
    <n v="100000"/>
    <n v="1"/>
  </r>
  <r>
    <n v="1008"/>
    <s v="2024-02-09"/>
    <x v="1"/>
    <s v="Priya"/>
    <s v="Table"/>
    <x v="1"/>
    <n v="1"/>
    <n v="8500"/>
    <n v="8500"/>
    <n v="2"/>
  </r>
  <r>
    <n v="1009"/>
    <s v="2024-01-27"/>
    <x v="3"/>
    <s v="Karthik"/>
    <s v="Chair"/>
    <x v="1"/>
    <n v="2"/>
    <n v="4500"/>
    <n v="9000"/>
    <n v="1"/>
  </r>
  <r>
    <n v="1010"/>
    <s v="2024-01-17"/>
    <x v="0"/>
    <s v="Ravi"/>
    <s v="Printer"/>
    <x v="0"/>
    <n v="2"/>
    <n v="12000"/>
    <n v="24000"/>
    <n v="1"/>
  </r>
  <r>
    <n v="1011"/>
    <s v="2024-02-03"/>
    <x v="0"/>
    <s v="Karthik"/>
    <s v="Printer"/>
    <x v="0"/>
    <n v="2"/>
    <n v="12000"/>
    <n v="24000"/>
    <n v="2"/>
  </r>
  <r>
    <n v="1012"/>
    <s v="2024-02-12"/>
    <x v="1"/>
    <s v="Ravi"/>
    <s v="Laptop"/>
    <x v="0"/>
    <n v="3"/>
    <n v="55000"/>
    <n v="165000"/>
    <n v="2"/>
  </r>
  <r>
    <n v="1013"/>
    <s v="2024-02-16"/>
    <x v="2"/>
    <s v="Karthik"/>
    <s v="Table"/>
    <x v="1"/>
    <n v="3"/>
    <n v="8500"/>
    <n v="25500"/>
    <n v="2"/>
  </r>
  <r>
    <n v="1014"/>
    <s v="2024-01-23"/>
    <x v="1"/>
    <s v="Karthik"/>
    <s v="Sofa"/>
    <x v="1"/>
    <n v="6"/>
    <n v="25000"/>
    <n v="150000"/>
    <n v="1"/>
  </r>
  <r>
    <n v="1015"/>
    <s v="2024-02-03"/>
    <x v="2"/>
    <s v="Karthik"/>
    <s v="Mobile"/>
    <x v="0"/>
    <n v="6"/>
    <n v="20000"/>
    <n v="120000"/>
    <n v="2"/>
  </r>
  <r>
    <n v="1016"/>
    <s v="2024-03-29"/>
    <x v="0"/>
    <s v="Karthik"/>
    <s v="Chair"/>
    <x v="1"/>
    <n v="2"/>
    <n v="4500"/>
    <n v="9000"/>
    <n v="3"/>
  </r>
  <r>
    <n v="1017"/>
    <s v="2024-01-10"/>
    <x v="3"/>
    <s v="Karthik"/>
    <s v="Chair"/>
    <x v="1"/>
    <n v="5"/>
    <n v="4500"/>
    <n v="22500"/>
    <n v="1"/>
  </r>
  <r>
    <n v="1018"/>
    <s v="2024-03-08"/>
    <x v="1"/>
    <s v="Ravi"/>
    <s v="Printer"/>
    <x v="0"/>
    <n v="2"/>
    <n v="12000"/>
    <n v="24000"/>
    <n v="3"/>
  </r>
  <r>
    <n v="1019"/>
    <s v="2024-02-20"/>
    <x v="1"/>
    <s v="Karthik"/>
    <s v="Chair"/>
    <x v="1"/>
    <n v="4"/>
    <n v="4500"/>
    <n v="18000"/>
    <n v="2"/>
  </r>
  <r>
    <n v="1020"/>
    <s v="2024-01-05"/>
    <x v="3"/>
    <s v="Ravi"/>
    <s v="Sofa"/>
    <x v="1"/>
    <n v="3"/>
    <n v="25000"/>
    <n v="75000"/>
    <n v="1"/>
  </r>
  <r>
    <n v="1021"/>
    <s v="2024-03-22"/>
    <x v="1"/>
    <s v="Ravi"/>
    <s v="Sofa"/>
    <x v="1"/>
    <n v="1"/>
    <n v="25000"/>
    <n v="25000"/>
    <n v="3"/>
  </r>
  <r>
    <n v="1022"/>
    <s v="2024-03-04"/>
    <x v="0"/>
    <s v="Priya"/>
    <s v="Printer"/>
    <x v="0"/>
    <n v="4"/>
    <n v="12000"/>
    <n v="48000"/>
    <n v="3"/>
  </r>
  <r>
    <n v="1023"/>
    <s v="2024-01-08"/>
    <x v="1"/>
    <s v="Ravi"/>
    <s v="Mobile"/>
    <x v="0"/>
    <n v="1"/>
    <n v="20000"/>
    <n v="20000"/>
    <n v="1"/>
  </r>
  <r>
    <n v="1024"/>
    <s v="2024-03-13"/>
    <x v="3"/>
    <s v="Karthik"/>
    <s v="Laptop"/>
    <x v="0"/>
    <n v="6"/>
    <n v="55000"/>
    <n v="330000"/>
    <n v="3"/>
  </r>
  <r>
    <n v="1025"/>
    <s v="2024-03-07"/>
    <x v="2"/>
    <s v="Priya"/>
    <s v="Mobile"/>
    <x v="0"/>
    <n v="1"/>
    <n v="20000"/>
    <n v="20000"/>
    <n v="3"/>
  </r>
  <r>
    <n v="1026"/>
    <s v="2024-03-25"/>
    <x v="1"/>
    <s v="Karthik"/>
    <s v="Chair"/>
    <x v="1"/>
    <n v="5"/>
    <n v="4500"/>
    <n v="22500"/>
    <n v="3"/>
  </r>
  <r>
    <n v="1027"/>
    <s v="2024-03-12"/>
    <x v="3"/>
    <s v="Anil"/>
    <s v="Laptop"/>
    <x v="0"/>
    <n v="6"/>
    <n v="55000"/>
    <n v="330000"/>
    <n v="3"/>
  </r>
  <r>
    <n v="1028"/>
    <s v="2024-02-19"/>
    <x v="0"/>
    <s v="Anil"/>
    <s v="Sofa"/>
    <x v="1"/>
    <n v="1"/>
    <n v="25000"/>
    <n v="25000"/>
    <n v="2"/>
  </r>
  <r>
    <n v="1029"/>
    <s v="2024-01-19"/>
    <x v="0"/>
    <s v="Anil"/>
    <s v="Sofa"/>
    <x v="1"/>
    <n v="1"/>
    <n v="25000"/>
    <n v="25000"/>
    <n v="1"/>
  </r>
  <r>
    <n v="1030"/>
    <s v="2024-02-03"/>
    <x v="3"/>
    <s v="Priya"/>
    <s v="Chair"/>
    <x v="1"/>
    <n v="1"/>
    <n v="4500"/>
    <n v="4500"/>
    <n v="2"/>
  </r>
  <r>
    <n v="1031"/>
    <s v="2024-01-15"/>
    <x v="1"/>
    <s v="Anil"/>
    <s v="Chair"/>
    <x v="1"/>
    <n v="6"/>
    <n v="4500"/>
    <n v="27000"/>
    <n v="1"/>
  </r>
  <r>
    <n v="1032"/>
    <s v="2024-02-23"/>
    <x v="2"/>
    <s v="Anil"/>
    <s v="Sofa"/>
    <x v="1"/>
    <n v="4"/>
    <n v="25000"/>
    <n v="100000"/>
    <n v="2"/>
  </r>
  <r>
    <n v="1033"/>
    <s v="2024-03-10"/>
    <x v="1"/>
    <s v="Priya"/>
    <s v="Laptop"/>
    <x v="0"/>
    <n v="2"/>
    <n v="55000"/>
    <n v="110000"/>
    <n v="3"/>
  </r>
  <r>
    <n v="1034"/>
    <s v="2024-02-11"/>
    <x v="3"/>
    <s v="Anil"/>
    <s v="Table"/>
    <x v="1"/>
    <n v="6"/>
    <n v="8500"/>
    <n v="51000"/>
    <n v="2"/>
  </r>
  <r>
    <n v="1035"/>
    <s v="2024-02-25"/>
    <x v="3"/>
    <s v="Anil"/>
    <s v="Sofa"/>
    <x v="1"/>
    <n v="1"/>
    <n v="25000"/>
    <n v="25000"/>
    <n v="2"/>
  </r>
  <r>
    <n v="1036"/>
    <s v="2024-01-04"/>
    <x v="0"/>
    <s v="Ravi"/>
    <s v="Chair"/>
    <x v="1"/>
    <n v="4"/>
    <n v="4500"/>
    <n v="18000"/>
    <n v="1"/>
  </r>
  <r>
    <n v="1037"/>
    <s v="2024-02-01"/>
    <x v="1"/>
    <s v="Ravi"/>
    <s v="Mobile"/>
    <x v="0"/>
    <n v="2"/>
    <n v="20000"/>
    <n v="40000"/>
    <n v="2"/>
  </r>
  <r>
    <n v="1038"/>
    <s v="2024-01-22"/>
    <x v="2"/>
    <s v="Karthik"/>
    <s v="Mobile"/>
    <x v="0"/>
    <n v="1"/>
    <n v="20000"/>
    <n v="20000"/>
    <n v="1"/>
  </r>
  <r>
    <n v="1039"/>
    <s v="2024-03-10"/>
    <x v="3"/>
    <s v="Ravi"/>
    <s v="Mobile"/>
    <x v="0"/>
    <n v="1"/>
    <n v="20000"/>
    <n v="20000"/>
    <n v="3"/>
  </r>
  <r>
    <n v="1040"/>
    <s v="2024-03-29"/>
    <x v="1"/>
    <s v="Anil"/>
    <s v="Mobile"/>
    <x v="0"/>
    <n v="4"/>
    <n v="20000"/>
    <n v="80000"/>
    <n v="3"/>
  </r>
  <r>
    <n v="1041"/>
    <s v="2024-02-15"/>
    <x v="3"/>
    <s v="Anil"/>
    <s v="Sofa"/>
    <x v="1"/>
    <n v="6"/>
    <n v="25000"/>
    <n v="150000"/>
    <n v="2"/>
  </r>
  <r>
    <n v="1042"/>
    <s v="2024-03-18"/>
    <x v="1"/>
    <s v="Priya"/>
    <s v="Table"/>
    <x v="1"/>
    <n v="4"/>
    <n v="8500"/>
    <n v="34000"/>
    <n v="3"/>
  </r>
  <r>
    <n v="1043"/>
    <s v="2024-03-12"/>
    <x v="3"/>
    <s v="Anil"/>
    <s v="Sofa"/>
    <x v="1"/>
    <n v="2"/>
    <n v="25000"/>
    <n v="50000"/>
    <n v="3"/>
  </r>
  <r>
    <n v="1044"/>
    <s v="2024-01-25"/>
    <x v="1"/>
    <s v="Priya"/>
    <s v="Chair"/>
    <x v="1"/>
    <n v="3"/>
    <n v="4500"/>
    <n v="13500"/>
    <n v="1"/>
  </r>
  <r>
    <n v="1045"/>
    <s v="2024-03-25"/>
    <x v="3"/>
    <s v="Priya"/>
    <s v="Laptop"/>
    <x v="0"/>
    <n v="5"/>
    <n v="55000"/>
    <n v="275000"/>
    <n v="3"/>
  </r>
  <r>
    <n v="1046"/>
    <s v="2024-03-07"/>
    <x v="2"/>
    <s v="Karthik"/>
    <s v="Sofa"/>
    <x v="1"/>
    <n v="6"/>
    <n v="25000"/>
    <n v="150000"/>
    <n v="3"/>
  </r>
  <r>
    <n v="1047"/>
    <s v="2024-03-21"/>
    <x v="2"/>
    <s v="Karthik"/>
    <s v="Sofa"/>
    <x v="1"/>
    <n v="4"/>
    <n v="25000"/>
    <n v="100000"/>
    <n v="3"/>
  </r>
  <r>
    <n v="1048"/>
    <s v="2024-02-25"/>
    <x v="1"/>
    <s v="Anil"/>
    <s v="Mobile"/>
    <x v="0"/>
    <n v="6"/>
    <n v="20000"/>
    <n v="120000"/>
    <n v="2"/>
  </r>
  <r>
    <n v="1049"/>
    <s v="2024-02-04"/>
    <x v="0"/>
    <s v="Priya"/>
    <s v="Sofa"/>
    <x v="1"/>
    <n v="3"/>
    <n v="25000"/>
    <n v="75000"/>
    <n v="2"/>
  </r>
  <r>
    <n v="1050"/>
    <s v="2024-02-14"/>
    <x v="0"/>
    <s v="Anil"/>
    <s v="Table"/>
    <x v="1"/>
    <n v="6"/>
    <n v="8500"/>
    <n v="51000"/>
    <n v="2"/>
  </r>
  <r>
    <n v="1051"/>
    <s v="2024-02-06"/>
    <x v="3"/>
    <s v="Ravi"/>
    <s v="Printer"/>
    <x v="0"/>
    <n v="3"/>
    <n v="12000"/>
    <n v="36000"/>
    <n v="2"/>
  </r>
  <r>
    <n v="1052"/>
    <s v="2024-03-07"/>
    <x v="3"/>
    <s v="Priya"/>
    <s v="Table"/>
    <x v="1"/>
    <n v="5"/>
    <n v="8500"/>
    <n v="42500"/>
    <n v="3"/>
  </r>
  <r>
    <n v="1053"/>
    <s v="2024-01-11"/>
    <x v="2"/>
    <s v="Anil"/>
    <s v="Printer"/>
    <x v="0"/>
    <n v="1"/>
    <n v="12000"/>
    <n v="12000"/>
    <n v="1"/>
  </r>
  <r>
    <n v="1054"/>
    <s v="2024-01-18"/>
    <x v="1"/>
    <s v="Ravi"/>
    <s v="Table"/>
    <x v="1"/>
    <n v="6"/>
    <n v="8500"/>
    <n v="51000"/>
    <n v="1"/>
  </r>
  <r>
    <n v="1055"/>
    <s v="2024-03-13"/>
    <x v="3"/>
    <s v="Priya"/>
    <s v="Table"/>
    <x v="1"/>
    <n v="4"/>
    <n v="8500"/>
    <n v="34000"/>
    <n v="3"/>
  </r>
  <r>
    <n v="1056"/>
    <s v="2024-02-20"/>
    <x v="0"/>
    <s v="Karthik"/>
    <s v="Chair"/>
    <x v="1"/>
    <n v="5"/>
    <n v="4500"/>
    <n v="22500"/>
    <n v="2"/>
  </r>
  <r>
    <n v="1057"/>
    <s v="2024-02-25"/>
    <x v="2"/>
    <s v="Karthik"/>
    <s v="Chair"/>
    <x v="1"/>
    <n v="4"/>
    <n v="4500"/>
    <n v="18000"/>
    <n v="2"/>
  </r>
  <r>
    <n v="1058"/>
    <s v="2024-01-21"/>
    <x v="3"/>
    <s v="Anil"/>
    <s v="Table"/>
    <x v="1"/>
    <n v="2"/>
    <n v="8500"/>
    <n v="17000"/>
    <n v="1"/>
  </r>
  <r>
    <n v="1059"/>
    <s v="2024-01-20"/>
    <x v="2"/>
    <s v="Ravi"/>
    <s v="Mobile"/>
    <x v="0"/>
    <n v="5"/>
    <n v="20000"/>
    <n v="100000"/>
    <n v="1"/>
  </r>
  <r>
    <n v="1060"/>
    <s v="2024-01-31"/>
    <x v="1"/>
    <s v="Priya"/>
    <s v="Laptop"/>
    <x v="0"/>
    <n v="2"/>
    <n v="55000"/>
    <n v="110000"/>
    <n v="1"/>
  </r>
  <r>
    <n v="1061"/>
    <s v="2024-03-03"/>
    <x v="2"/>
    <s v="Ravi"/>
    <s v="Printer"/>
    <x v="0"/>
    <n v="5"/>
    <n v="12000"/>
    <n v="60000"/>
    <n v="3"/>
  </r>
  <r>
    <n v="1062"/>
    <s v="2024-01-08"/>
    <x v="1"/>
    <s v="Anil"/>
    <s v="Sofa"/>
    <x v="1"/>
    <n v="5"/>
    <n v="25000"/>
    <n v="125000"/>
    <n v="1"/>
  </r>
  <r>
    <n v="1063"/>
    <s v="2024-01-05"/>
    <x v="1"/>
    <s v="Karthik"/>
    <s v="Table"/>
    <x v="1"/>
    <n v="2"/>
    <n v="8500"/>
    <n v="17000"/>
    <n v="1"/>
  </r>
  <r>
    <n v="1064"/>
    <s v="2024-02-26"/>
    <x v="3"/>
    <s v="Anil"/>
    <s v="Printer"/>
    <x v="0"/>
    <n v="2"/>
    <n v="12000"/>
    <n v="24000"/>
    <n v="2"/>
  </r>
  <r>
    <n v="1065"/>
    <s v="2024-01-09"/>
    <x v="0"/>
    <s v="Ravi"/>
    <s v="Printer"/>
    <x v="0"/>
    <n v="4"/>
    <n v="12000"/>
    <n v="48000"/>
    <n v="1"/>
  </r>
  <r>
    <n v="1066"/>
    <s v="2024-01-24"/>
    <x v="1"/>
    <s v="Anil"/>
    <s v="Laptop"/>
    <x v="0"/>
    <n v="1"/>
    <n v="55000"/>
    <n v="55000"/>
    <n v="1"/>
  </r>
  <r>
    <n v="1067"/>
    <s v="2024-03-12"/>
    <x v="1"/>
    <s v="Ravi"/>
    <s v="Sofa"/>
    <x v="1"/>
    <n v="5"/>
    <n v="25000"/>
    <n v="125000"/>
    <n v="3"/>
  </r>
  <r>
    <n v="1068"/>
    <s v="2024-01-06"/>
    <x v="2"/>
    <s v="Ravi"/>
    <s v="Sofa"/>
    <x v="1"/>
    <n v="1"/>
    <n v="25000"/>
    <n v="25000"/>
    <n v="1"/>
  </r>
  <r>
    <n v="1069"/>
    <s v="2024-03-30"/>
    <x v="2"/>
    <s v="Karthik"/>
    <s v="Printer"/>
    <x v="0"/>
    <n v="1"/>
    <n v="12000"/>
    <n v="12000"/>
    <n v="3"/>
  </r>
  <r>
    <n v="1070"/>
    <s v="2024-01-11"/>
    <x v="3"/>
    <s v="Ravi"/>
    <s v="Sofa"/>
    <x v="1"/>
    <n v="1"/>
    <n v="25000"/>
    <n v="25000"/>
    <n v="1"/>
  </r>
  <r>
    <n v="1071"/>
    <s v="2024-02-21"/>
    <x v="0"/>
    <s v="Ravi"/>
    <s v="Printer"/>
    <x v="0"/>
    <n v="6"/>
    <n v="12000"/>
    <n v="72000"/>
    <n v="2"/>
  </r>
  <r>
    <n v="1072"/>
    <s v="2024-01-12"/>
    <x v="1"/>
    <s v="Anil"/>
    <s v="Chair"/>
    <x v="1"/>
    <n v="1"/>
    <n v="4500"/>
    <n v="4500"/>
    <n v="1"/>
  </r>
  <r>
    <n v="1073"/>
    <s v="2024-02-18"/>
    <x v="3"/>
    <s v="Anil"/>
    <s v="Mobile"/>
    <x v="0"/>
    <n v="1"/>
    <n v="20000"/>
    <n v="20000"/>
    <n v="2"/>
  </r>
  <r>
    <n v="1074"/>
    <s v="2024-01-02"/>
    <x v="2"/>
    <s v="Anil"/>
    <s v="Printer"/>
    <x v="0"/>
    <n v="3"/>
    <n v="12000"/>
    <n v="36000"/>
    <n v="1"/>
  </r>
  <r>
    <n v="1075"/>
    <s v="2024-02-01"/>
    <x v="2"/>
    <s v="Ravi"/>
    <s v="Table"/>
    <x v="1"/>
    <n v="5"/>
    <n v="8500"/>
    <n v="42500"/>
    <n v="2"/>
  </r>
  <r>
    <n v="1076"/>
    <s v="2024-01-03"/>
    <x v="0"/>
    <s v="Karthik"/>
    <s v="Mobile"/>
    <x v="0"/>
    <n v="6"/>
    <n v="20000"/>
    <n v="120000"/>
    <n v="1"/>
  </r>
  <r>
    <n v="1077"/>
    <s v="2024-03-25"/>
    <x v="2"/>
    <s v="Karthik"/>
    <s v="Sofa"/>
    <x v="1"/>
    <n v="6"/>
    <n v="25000"/>
    <n v="150000"/>
    <n v="3"/>
  </r>
  <r>
    <n v="1078"/>
    <s v="2024-03-31"/>
    <x v="3"/>
    <s v="Ravi"/>
    <s v="Mobile"/>
    <x v="0"/>
    <n v="4"/>
    <n v="20000"/>
    <n v="80000"/>
    <n v="3"/>
  </r>
  <r>
    <n v="1079"/>
    <s v="2024-01-28"/>
    <x v="2"/>
    <s v="Ravi"/>
    <s v="Mobile"/>
    <x v="0"/>
    <n v="3"/>
    <n v="20000"/>
    <n v="60000"/>
    <n v="1"/>
  </r>
  <r>
    <n v="1080"/>
    <s v="2024-02-02"/>
    <x v="3"/>
    <s v="Anil"/>
    <s v="Printer"/>
    <x v="0"/>
    <n v="2"/>
    <n v="12000"/>
    <n v="24000"/>
    <n v="2"/>
  </r>
  <r>
    <n v="1081"/>
    <s v="2024-02-16"/>
    <x v="3"/>
    <s v="Karthik"/>
    <s v="Mobile"/>
    <x v="0"/>
    <n v="3"/>
    <n v="20000"/>
    <n v="60000"/>
    <n v="2"/>
  </r>
  <r>
    <n v="1082"/>
    <s v="2024-03-10"/>
    <x v="1"/>
    <s v="Priya"/>
    <s v="Table"/>
    <x v="1"/>
    <n v="2"/>
    <n v="8500"/>
    <n v="17000"/>
    <n v="3"/>
  </r>
  <r>
    <n v="1083"/>
    <s v="2024-02-22"/>
    <x v="2"/>
    <s v="Anil"/>
    <s v="Mobile"/>
    <x v="0"/>
    <n v="6"/>
    <n v="20000"/>
    <n v="120000"/>
    <n v="2"/>
  </r>
  <r>
    <n v="1084"/>
    <s v="2024-02-15"/>
    <x v="2"/>
    <s v="Ravi"/>
    <s v="Table"/>
    <x v="1"/>
    <n v="3"/>
    <n v="8500"/>
    <n v="25500"/>
    <n v="2"/>
  </r>
  <r>
    <n v="1085"/>
    <s v="2024-02-05"/>
    <x v="0"/>
    <s v="Priya"/>
    <s v="Table"/>
    <x v="1"/>
    <n v="1"/>
    <n v="8500"/>
    <n v="8500"/>
    <n v="2"/>
  </r>
  <r>
    <n v="1086"/>
    <s v="2024-02-05"/>
    <x v="0"/>
    <s v="Ravi"/>
    <s v="Sofa"/>
    <x v="1"/>
    <n v="6"/>
    <n v="25000"/>
    <n v="150000"/>
    <n v="2"/>
  </r>
  <r>
    <n v="1087"/>
    <s v="2024-02-17"/>
    <x v="0"/>
    <s v="Karthik"/>
    <s v="Printer"/>
    <x v="0"/>
    <n v="5"/>
    <n v="12000"/>
    <n v="60000"/>
    <n v="2"/>
  </r>
  <r>
    <n v="1088"/>
    <s v="2024-03-29"/>
    <x v="2"/>
    <s v="Anil"/>
    <s v="Chair"/>
    <x v="1"/>
    <n v="2"/>
    <n v="4500"/>
    <n v="9000"/>
    <n v="3"/>
  </r>
  <r>
    <n v="1089"/>
    <s v="2024-03-13"/>
    <x v="0"/>
    <s v="Karthik"/>
    <s v="Sofa"/>
    <x v="1"/>
    <n v="1"/>
    <n v="25000"/>
    <n v="25000"/>
    <n v="3"/>
  </r>
  <r>
    <n v="1090"/>
    <s v="2024-01-05"/>
    <x v="2"/>
    <s v="Priya"/>
    <s v="Chair"/>
    <x v="1"/>
    <n v="2"/>
    <n v="4500"/>
    <n v="9000"/>
    <n v="1"/>
  </r>
  <r>
    <n v="1091"/>
    <s v="2024-01-12"/>
    <x v="0"/>
    <s v="Ravi"/>
    <s v="Laptop"/>
    <x v="0"/>
    <n v="3"/>
    <n v="55000"/>
    <n v="165000"/>
    <n v="1"/>
  </r>
  <r>
    <n v="1092"/>
    <s v="2024-01-15"/>
    <x v="1"/>
    <s v="Anil"/>
    <s v="Chair"/>
    <x v="1"/>
    <n v="1"/>
    <n v="4500"/>
    <n v="4500"/>
    <n v="1"/>
  </r>
  <r>
    <n v="1093"/>
    <s v="2024-03-09"/>
    <x v="0"/>
    <s v="Ravi"/>
    <s v="Chair"/>
    <x v="1"/>
    <n v="3"/>
    <n v="4500"/>
    <n v="13500"/>
    <n v="3"/>
  </r>
  <r>
    <n v="1094"/>
    <s v="2024-02-01"/>
    <x v="1"/>
    <s v="Karthik"/>
    <s v="Chair"/>
    <x v="1"/>
    <n v="3"/>
    <n v="4500"/>
    <n v="13500"/>
    <n v="2"/>
  </r>
  <r>
    <n v="1095"/>
    <s v="2024-01-01"/>
    <x v="1"/>
    <s v="Ravi"/>
    <s v="Laptop"/>
    <x v="0"/>
    <n v="2"/>
    <n v="55000"/>
    <n v="110000"/>
    <n v="1"/>
  </r>
  <r>
    <n v="1096"/>
    <s v="2024-01-12"/>
    <x v="1"/>
    <s v="Anil"/>
    <s v="Chair"/>
    <x v="1"/>
    <n v="4"/>
    <n v="4500"/>
    <n v="18000"/>
    <n v="1"/>
  </r>
  <r>
    <n v="1097"/>
    <s v="2024-02-27"/>
    <x v="3"/>
    <s v="Ravi"/>
    <s v="Printer"/>
    <x v="0"/>
    <n v="5"/>
    <n v="12000"/>
    <n v="60000"/>
    <n v="2"/>
  </r>
  <r>
    <n v="1098"/>
    <s v="2024-02-13"/>
    <x v="0"/>
    <s v="Priya"/>
    <s v="Laptop"/>
    <x v="0"/>
    <n v="1"/>
    <n v="55000"/>
    <n v="55000"/>
    <n v="2"/>
  </r>
  <r>
    <n v="1099"/>
    <s v="2024-02-15"/>
    <x v="3"/>
    <s v="Anil"/>
    <s v="Printer"/>
    <x v="0"/>
    <n v="2"/>
    <n v="12000"/>
    <n v="24000"/>
    <n v="2"/>
  </r>
  <r>
    <n v="1100"/>
    <s v="2024-01-25"/>
    <x v="2"/>
    <s v="Karthik"/>
    <s v="Table"/>
    <x v="1"/>
    <n v="5"/>
    <n v="8500"/>
    <n v="4250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3F321D-1ADE-4F8E-BB23-26606BD961BD}" name="PivotTable15"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9">
  <location ref="A3:B7"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4">
        <item x="0"/>
        <item x="3"/>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
    <i>
      <x/>
    </i>
    <i>
      <x v="1"/>
    </i>
    <i>
      <x v="2"/>
    </i>
    <i>
      <x v="3"/>
    </i>
  </rowItems>
  <colItems count="1">
    <i/>
  </colItems>
  <dataFields count="1">
    <dataField name="Sum of Units_Sold"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CBE562-6437-4BB0-AA02-B3C70CA8355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5:M4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Total_Sales" fld="1" baseField="0" baseItem="0"/>
  </dataFields>
  <formats count="2">
    <format dxfId="2">
      <pivotArea outline="0" collapsedLevelsAreSubtotals="1" fieldPosition="0"/>
    </format>
    <format dxfId="1">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1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BCBC50-DCC3-4B63-9F40-8F0B2E2F55A3}"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2:M2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Sales" fld="1" baseField="0" baseItem="0"/>
  </dataFields>
  <formats count="2">
    <format dxfId="4">
      <pivotArea outline="0" collapsedLevelsAreSubtotals="1" fieldPosition="0"/>
    </format>
    <format dxfId="3">
      <pivotArea dataOnly="0" labelOnly="1" outline="0" axis="axisValues" fieldPosition="0"/>
    </format>
  </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1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479D8-5843-4759-BEB5-60807FC3E1A4}" name="PivotTable6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35:P38" firstHeaderRow="1" firstDataRow="1" firstDataCol="1"/>
  <pivotFields count="10">
    <pivotField showAll="0"/>
    <pivotField showAll="0"/>
    <pivotField showAll="0"/>
    <pivotField showAll="0"/>
    <pivotField showAll="0"/>
    <pivotField axis="axisRow" showAll="0">
      <items count="3">
        <item x="0"/>
        <item x="1"/>
        <item t="default"/>
      </items>
    </pivotField>
    <pivotField showAll="0"/>
    <pivotField showAll="0"/>
    <pivotField dataField="1" showAll="0"/>
    <pivotField showAll="0"/>
  </pivotFields>
  <rowFields count="1">
    <field x="5"/>
  </rowFields>
  <rowItems count="3">
    <i>
      <x/>
    </i>
    <i>
      <x v="1"/>
    </i>
    <i t="grand">
      <x/>
    </i>
  </rowItems>
  <colItems count="1">
    <i/>
  </colItems>
  <dataFields count="1">
    <dataField name="Sum of Total_Sales" fld="8"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C04F4D-CB7C-4DF4-A7D3-99B4CA826AF6}"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22:S27"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Sales" fld="1"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1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1BBCD-2EE1-4987-B9EA-61E4663E4880}"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22:P2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Total_Sales" fld="1" baseField="0" baseItem="0"/>
  </dataFields>
  <chartFormats count="1">
    <chartFormat chart="7" format="0" series="1">
      <pivotArea type="data" outline="0" fieldPosition="0">
        <references count="1">
          <reference field="4294967294" count="1" selected="0">
            <x v="0"/>
          </reference>
        </references>
      </pivotArea>
    </chartFormat>
  </chartFormat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set_100_Row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9FFCB7F-95D9-43AB-8326-2DC4B64B222C}" sourceName="Region">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A8D4D03-9602-4493-8542-CDC1CE16CE1C}" sourceName="Salesperson">
  <extLst>
    <x:ext xmlns:x15="http://schemas.microsoft.com/office/spreadsheetml/2010/11/main" uri="{2F2917AC-EB37-4324-AD4E-5DD8C200BD13}">
      <x15:tableSlicerCache tableId="1"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3FF9FC-A80C-4FAF-A2D0-61B4052A6922}" sourceName="Category">
  <extLst>
    <x:ext xmlns:x15="http://schemas.microsoft.com/office/spreadsheetml/2010/11/main" uri="{2F2917AC-EB37-4324-AD4E-5DD8C200BD13}">
      <x15:tableSlicerCache tableId="1"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61A2BE0B-8AC8-4FDA-A89C-0EADE312321F}" sourceName="Total_Sales">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C010BFE-F536-41D2-B078-8FCC36BEE118}" cache="Slicer_Region" caption="Region" rowHeight="234950"/>
  <slicer name="Salesperson" xr10:uid="{442052EA-CE19-4970-8360-406C108D7446}" cache="Slicer_Salesperson" caption="Salesperson" rowHeight="234950"/>
  <slicer name="Category" xr10:uid="{DC248B50-A996-46A5-8F8E-593F44BE4FD8}" cache="Slicer_Category" caption="Category" rowHeight="234950"/>
  <slicer name="Total_Sales" xr10:uid="{67B3B291-200D-4238-8A25-0AB53CCC4E65}" cache="Slicer_Total_Sales" caption="Total_Sales" startItem="2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9F6007-FA12-41DC-8B84-9F803ABE5281}" name="Table1" displayName="Table1" ref="A1:J101" totalsRowShown="0" headerRowDxfId="0">
  <autoFilter ref="A1:J101" xr:uid="{EC9F6007-FA12-41DC-8B84-9F803ABE5281}"/>
  <tableColumns count="10">
    <tableColumn id="1" xr3:uid="{C58F8147-F2BC-4DEF-B0A4-68948017C3F3}" name="Order_ID"/>
    <tableColumn id="2" xr3:uid="{4A6A4678-CF31-44AD-B0A1-0A11667EDBA9}" name="Date"/>
    <tableColumn id="3" xr3:uid="{D68215DA-2EFD-4B8E-AE46-1F7513E57B51}" name="Region"/>
    <tableColumn id="4" xr3:uid="{7CE88B03-D780-46B8-ADF1-8BC555921690}" name="Salesperson"/>
    <tableColumn id="5" xr3:uid="{7FFB1412-A47D-4037-A0AF-1F60B2E94419}" name="Product"/>
    <tableColumn id="6" xr3:uid="{E89B5001-36A8-46BE-B790-90F8322082C4}" name="Category"/>
    <tableColumn id="7" xr3:uid="{95822038-0479-4B57-BB0D-FF33869F0E24}" name="Units_Sold"/>
    <tableColumn id="8" xr3:uid="{BCF9DEC1-9E2C-4A0D-9C14-9CCDB68324AD}" name="Unit_Price"/>
    <tableColumn id="9" xr3:uid="{67BEFC05-0F11-45C3-BF5B-5EEF3857EC3B}" name="Total_Sales">
      <calculatedColumnFormula>G2*H2</calculatedColumnFormula>
    </tableColumn>
    <tableColumn id="10" xr3:uid="{435D0C03-CF09-4FC7-A689-88FD5014AF68}" name="Month">
      <calculatedColumnFormula>MONTH(B2)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table" Target="../tables/table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D22BB-9C06-4627-A87E-C01A55E25E3B}">
  <sheetPr codeName="Sheet2"/>
  <dimension ref="A3:B7"/>
  <sheetViews>
    <sheetView workbookViewId="0">
      <selection activeCell="B7" sqref="A3:B7"/>
    </sheetView>
  </sheetViews>
  <sheetFormatPr defaultRowHeight="14.4" x14ac:dyDescent="0.3"/>
  <cols>
    <col min="1" max="1" width="9" bestFit="1" customWidth="1"/>
    <col min="2" max="2" width="16.5546875" bestFit="1" customWidth="1"/>
  </cols>
  <sheetData>
    <row r="3" spans="1:2" x14ac:dyDescent="0.3">
      <c r="A3" s="3" t="s">
        <v>2</v>
      </c>
      <c r="B3" t="s">
        <v>105</v>
      </c>
    </row>
    <row r="4" spans="1:2" x14ac:dyDescent="0.3">
      <c r="A4" t="s">
        <v>9</v>
      </c>
      <c r="B4">
        <v>80</v>
      </c>
    </row>
    <row r="5" spans="1:2" x14ac:dyDescent="0.3">
      <c r="A5" t="s">
        <v>26</v>
      </c>
      <c r="B5">
        <v>83</v>
      </c>
    </row>
    <row r="6" spans="1:2" x14ac:dyDescent="0.3">
      <c r="A6" t="s">
        <v>16</v>
      </c>
      <c r="B6">
        <v>90</v>
      </c>
    </row>
    <row r="7" spans="1:2" x14ac:dyDescent="0.3">
      <c r="A7" t="s">
        <v>19</v>
      </c>
      <c r="B7">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16"/>
  <sheetViews>
    <sheetView tabSelected="1" topLeftCell="J55" zoomScale="71" workbookViewId="0">
      <selection activeCell="P98" sqref="P98"/>
    </sheetView>
  </sheetViews>
  <sheetFormatPr defaultRowHeight="14.4" x14ac:dyDescent="0.3"/>
  <cols>
    <col min="1" max="1" width="17" bestFit="1" customWidth="1"/>
    <col min="2" max="2" width="12.109375" bestFit="1" customWidth="1"/>
    <col min="3" max="3" width="14.88671875" bestFit="1" customWidth="1"/>
    <col min="4" max="4" width="21.44140625" bestFit="1" customWidth="1"/>
    <col min="5" max="5" width="16.109375" bestFit="1" customWidth="1"/>
    <col min="6" max="6" width="17.21875" bestFit="1" customWidth="1"/>
    <col min="7" max="7" width="19.33203125" bestFit="1" customWidth="1"/>
    <col min="8" max="8" width="18.88671875" bestFit="1" customWidth="1"/>
    <col min="9" max="9" width="21" bestFit="1" customWidth="1"/>
    <col min="10" max="10" width="14.21875" bestFit="1" customWidth="1"/>
    <col min="12" max="12" width="89" bestFit="1" customWidth="1"/>
    <col min="13" max="13" width="25.77734375" style="1" bestFit="1" customWidth="1"/>
    <col min="14" max="14" width="17" style="6" bestFit="1" customWidth="1"/>
    <col min="15" max="15" width="24.21875" bestFit="1" customWidth="1"/>
    <col min="16" max="16" width="25.77734375" bestFit="1" customWidth="1"/>
    <col min="17" max="17" width="10" bestFit="1" customWidth="1"/>
    <col min="18" max="18" width="42.44140625" bestFit="1" customWidth="1"/>
    <col min="19" max="19" width="25.77734375" bestFit="1" customWidth="1"/>
    <col min="22" max="22" width="18.88671875" bestFit="1" customWidth="1"/>
    <col min="23" max="23" width="24.21875" bestFit="1" customWidth="1"/>
  </cols>
  <sheetData>
    <row r="1" spans="1:18" x14ac:dyDescent="0.3">
      <c r="A1" s="1" t="s">
        <v>0</v>
      </c>
      <c r="B1" s="1" t="s">
        <v>1</v>
      </c>
      <c r="C1" s="1" t="s">
        <v>2</v>
      </c>
      <c r="D1" s="1" t="s">
        <v>3</v>
      </c>
      <c r="E1" s="1" t="s">
        <v>4</v>
      </c>
      <c r="F1" s="1" t="s">
        <v>5</v>
      </c>
      <c r="G1" s="1" t="s">
        <v>6</v>
      </c>
      <c r="H1" s="1" t="s">
        <v>7</v>
      </c>
      <c r="I1" s="1" t="s">
        <v>93</v>
      </c>
      <c r="J1" s="1" t="s">
        <v>94</v>
      </c>
      <c r="M1" s="9"/>
      <c r="N1" s="9"/>
    </row>
    <row r="2" spans="1:18" x14ac:dyDescent="0.3">
      <c r="A2">
        <v>1001</v>
      </c>
      <c r="B2" s="2">
        <v>45304</v>
      </c>
      <c r="C2" t="s">
        <v>9</v>
      </c>
      <c r="D2" t="s">
        <v>10</v>
      </c>
      <c r="E2" t="s">
        <v>11</v>
      </c>
      <c r="F2" t="s">
        <v>12</v>
      </c>
      <c r="G2">
        <v>5</v>
      </c>
      <c r="H2">
        <v>20000</v>
      </c>
      <c r="I2">
        <f>G2*H2</f>
        <v>100000</v>
      </c>
      <c r="J2">
        <f>MONTH(B2)</f>
        <v>1</v>
      </c>
    </row>
    <row r="3" spans="1:18" x14ac:dyDescent="0.3">
      <c r="A3">
        <v>1002</v>
      </c>
      <c r="B3" t="s">
        <v>13</v>
      </c>
      <c r="C3" t="s">
        <v>9</v>
      </c>
      <c r="D3" t="s">
        <v>10</v>
      </c>
      <c r="E3" t="s">
        <v>14</v>
      </c>
      <c r="F3" t="s">
        <v>15</v>
      </c>
      <c r="G3">
        <v>5</v>
      </c>
      <c r="H3">
        <v>8500</v>
      </c>
      <c r="I3">
        <f t="shared" ref="I3:I66" si="0">G3*H3</f>
        <v>42500</v>
      </c>
      <c r="J3">
        <f t="shared" ref="J3:J66" si="1">MONTH(B3)</f>
        <v>1</v>
      </c>
    </row>
    <row r="4" spans="1:18" x14ac:dyDescent="0.3">
      <c r="A4">
        <v>1003</v>
      </c>
      <c r="B4" t="s">
        <v>8</v>
      </c>
      <c r="C4" t="s">
        <v>16</v>
      </c>
      <c r="D4" t="s">
        <v>10</v>
      </c>
      <c r="E4" t="s">
        <v>17</v>
      </c>
      <c r="F4" t="s">
        <v>15</v>
      </c>
      <c r="G4">
        <v>6</v>
      </c>
      <c r="H4">
        <v>25000</v>
      </c>
      <c r="I4">
        <f t="shared" si="0"/>
        <v>150000</v>
      </c>
      <c r="J4">
        <f t="shared" si="1"/>
        <v>1</v>
      </c>
    </row>
    <row r="5" spans="1:18" x14ac:dyDescent="0.3">
      <c r="A5">
        <v>1004</v>
      </c>
      <c r="B5" t="s">
        <v>18</v>
      </c>
      <c r="C5" t="s">
        <v>19</v>
      </c>
      <c r="D5" t="s">
        <v>10</v>
      </c>
      <c r="E5" t="s">
        <v>14</v>
      </c>
      <c r="F5" t="s">
        <v>15</v>
      </c>
      <c r="G5">
        <v>6</v>
      </c>
      <c r="H5">
        <v>8500</v>
      </c>
      <c r="I5">
        <f t="shared" si="0"/>
        <v>51000</v>
      </c>
      <c r="J5">
        <f t="shared" si="1"/>
        <v>1</v>
      </c>
    </row>
    <row r="6" spans="1:18" x14ac:dyDescent="0.3">
      <c r="A6">
        <v>1005</v>
      </c>
      <c r="B6" t="s">
        <v>20</v>
      </c>
      <c r="C6" t="s">
        <v>19</v>
      </c>
      <c r="D6" t="s">
        <v>21</v>
      </c>
      <c r="E6" t="s">
        <v>22</v>
      </c>
      <c r="F6" t="s">
        <v>12</v>
      </c>
      <c r="G6">
        <v>5</v>
      </c>
      <c r="H6">
        <v>12000</v>
      </c>
      <c r="I6">
        <f t="shared" si="0"/>
        <v>60000</v>
      </c>
      <c r="J6">
        <f t="shared" si="1"/>
        <v>3</v>
      </c>
    </row>
    <row r="7" spans="1:18" x14ac:dyDescent="0.3">
      <c r="A7">
        <v>1006</v>
      </c>
      <c r="B7" t="s">
        <v>23</v>
      </c>
      <c r="C7" t="s">
        <v>9</v>
      </c>
      <c r="D7" t="s">
        <v>21</v>
      </c>
      <c r="E7" t="s">
        <v>24</v>
      </c>
      <c r="F7" t="s">
        <v>15</v>
      </c>
      <c r="G7">
        <v>4</v>
      </c>
      <c r="H7">
        <v>4500</v>
      </c>
      <c r="I7">
        <f t="shared" si="0"/>
        <v>18000</v>
      </c>
      <c r="J7">
        <f t="shared" si="1"/>
        <v>2</v>
      </c>
    </row>
    <row r="8" spans="1:18" x14ac:dyDescent="0.3">
      <c r="A8">
        <v>1007</v>
      </c>
      <c r="B8" t="s">
        <v>25</v>
      </c>
      <c r="C8" t="s">
        <v>26</v>
      </c>
      <c r="D8" t="s">
        <v>10</v>
      </c>
      <c r="E8" t="s">
        <v>11</v>
      </c>
      <c r="F8" t="s">
        <v>12</v>
      </c>
      <c r="G8">
        <v>5</v>
      </c>
      <c r="H8">
        <v>20000</v>
      </c>
      <c r="I8">
        <f t="shared" si="0"/>
        <v>100000</v>
      </c>
      <c r="J8">
        <f t="shared" si="1"/>
        <v>1</v>
      </c>
    </row>
    <row r="9" spans="1:18" x14ac:dyDescent="0.3">
      <c r="A9">
        <v>1008</v>
      </c>
      <c r="B9" t="s">
        <v>27</v>
      </c>
      <c r="C9" t="s">
        <v>16</v>
      </c>
      <c r="D9" t="s">
        <v>21</v>
      </c>
      <c r="E9" t="s">
        <v>14</v>
      </c>
      <c r="F9" t="s">
        <v>15</v>
      </c>
      <c r="G9">
        <v>1</v>
      </c>
      <c r="H9">
        <v>8500</v>
      </c>
      <c r="I9">
        <f t="shared" si="0"/>
        <v>8500</v>
      </c>
      <c r="J9">
        <f t="shared" si="1"/>
        <v>2</v>
      </c>
    </row>
    <row r="10" spans="1:18" x14ac:dyDescent="0.3">
      <c r="A10">
        <v>1009</v>
      </c>
      <c r="B10" t="s">
        <v>28</v>
      </c>
      <c r="C10" t="s">
        <v>26</v>
      </c>
      <c r="D10" t="s">
        <v>29</v>
      </c>
      <c r="E10" t="s">
        <v>24</v>
      </c>
      <c r="F10" t="s">
        <v>15</v>
      </c>
      <c r="G10">
        <v>2</v>
      </c>
      <c r="H10">
        <v>4500</v>
      </c>
      <c r="I10">
        <f t="shared" si="0"/>
        <v>9000</v>
      </c>
      <c r="J10">
        <f t="shared" si="1"/>
        <v>1</v>
      </c>
      <c r="Q10" s="5"/>
      <c r="R10" s="5"/>
    </row>
    <row r="11" spans="1:18" x14ac:dyDescent="0.3">
      <c r="A11">
        <v>1010</v>
      </c>
      <c r="B11" t="s">
        <v>30</v>
      </c>
      <c r="C11" t="s">
        <v>9</v>
      </c>
      <c r="D11" t="s">
        <v>31</v>
      </c>
      <c r="E11" t="s">
        <v>22</v>
      </c>
      <c r="F11" t="s">
        <v>12</v>
      </c>
      <c r="G11">
        <v>2</v>
      </c>
      <c r="H11">
        <v>12000</v>
      </c>
      <c r="I11">
        <f t="shared" si="0"/>
        <v>24000</v>
      </c>
      <c r="J11">
        <f t="shared" si="1"/>
        <v>1</v>
      </c>
    </row>
    <row r="12" spans="1:18" x14ac:dyDescent="0.3">
      <c r="A12">
        <v>1011</v>
      </c>
      <c r="B12" t="s">
        <v>32</v>
      </c>
      <c r="C12" t="s">
        <v>9</v>
      </c>
      <c r="D12" t="s">
        <v>29</v>
      </c>
      <c r="E12" t="s">
        <v>22</v>
      </c>
      <c r="F12" t="s">
        <v>12</v>
      </c>
      <c r="G12">
        <v>2</v>
      </c>
      <c r="H12">
        <v>12000</v>
      </c>
      <c r="I12">
        <f t="shared" si="0"/>
        <v>24000</v>
      </c>
      <c r="J12">
        <f t="shared" si="1"/>
        <v>2</v>
      </c>
    </row>
    <row r="13" spans="1:18" x14ac:dyDescent="0.3">
      <c r="A13">
        <v>1012</v>
      </c>
      <c r="B13" t="s">
        <v>33</v>
      </c>
      <c r="C13" t="s">
        <v>16</v>
      </c>
      <c r="D13" t="s">
        <v>31</v>
      </c>
      <c r="E13" t="s">
        <v>34</v>
      </c>
      <c r="F13" t="s">
        <v>12</v>
      </c>
      <c r="G13">
        <v>3</v>
      </c>
      <c r="H13">
        <v>55000</v>
      </c>
      <c r="I13">
        <f t="shared" si="0"/>
        <v>165000</v>
      </c>
      <c r="J13">
        <f t="shared" si="1"/>
        <v>2</v>
      </c>
    </row>
    <row r="14" spans="1:18" x14ac:dyDescent="0.3">
      <c r="A14">
        <v>1013</v>
      </c>
      <c r="B14" t="s">
        <v>35</v>
      </c>
      <c r="C14" t="s">
        <v>19</v>
      </c>
      <c r="D14" t="s">
        <v>29</v>
      </c>
      <c r="E14" t="s">
        <v>14</v>
      </c>
      <c r="F14" t="s">
        <v>15</v>
      </c>
      <c r="G14">
        <v>3</v>
      </c>
      <c r="H14">
        <v>8500</v>
      </c>
      <c r="I14">
        <f t="shared" si="0"/>
        <v>25500</v>
      </c>
      <c r="J14">
        <f t="shared" si="1"/>
        <v>2</v>
      </c>
    </row>
    <row r="15" spans="1:18" x14ac:dyDescent="0.3">
      <c r="A15">
        <v>1014</v>
      </c>
      <c r="B15" t="s">
        <v>36</v>
      </c>
      <c r="C15" t="s">
        <v>16</v>
      </c>
      <c r="D15" t="s">
        <v>29</v>
      </c>
      <c r="E15" t="s">
        <v>17</v>
      </c>
      <c r="F15" t="s">
        <v>15</v>
      </c>
      <c r="G15">
        <v>6</v>
      </c>
      <c r="H15">
        <v>25000</v>
      </c>
      <c r="I15">
        <f t="shared" si="0"/>
        <v>150000</v>
      </c>
      <c r="J15">
        <f t="shared" si="1"/>
        <v>1</v>
      </c>
      <c r="Q15" s="1"/>
    </row>
    <row r="16" spans="1:18" x14ac:dyDescent="0.3">
      <c r="A16">
        <v>1015</v>
      </c>
      <c r="B16" t="s">
        <v>32</v>
      </c>
      <c r="C16" t="s">
        <v>19</v>
      </c>
      <c r="D16" t="s">
        <v>29</v>
      </c>
      <c r="E16" t="s">
        <v>11</v>
      </c>
      <c r="F16" t="s">
        <v>12</v>
      </c>
      <c r="G16">
        <v>6</v>
      </c>
      <c r="H16">
        <v>20000</v>
      </c>
      <c r="I16">
        <f t="shared" si="0"/>
        <v>120000</v>
      </c>
      <c r="J16">
        <f t="shared" si="1"/>
        <v>2</v>
      </c>
    </row>
    <row r="17" spans="1:19" x14ac:dyDescent="0.3">
      <c r="A17">
        <v>1016</v>
      </c>
      <c r="B17" t="s">
        <v>37</v>
      </c>
      <c r="C17" t="s">
        <v>9</v>
      </c>
      <c r="D17" t="s">
        <v>29</v>
      </c>
      <c r="E17" t="s">
        <v>24</v>
      </c>
      <c r="F17" t="s">
        <v>15</v>
      </c>
      <c r="G17">
        <v>2</v>
      </c>
      <c r="H17">
        <v>4500</v>
      </c>
      <c r="I17">
        <f t="shared" si="0"/>
        <v>9000</v>
      </c>
      <c r="J17">
        <f t="shared" si="1"/>
        <v>3</v>
      </c>
    </row>
    <row r="18" spans="1:19" x14ac:dyDescent="0.3">
      <c r="A18">
        <v>1017</v>
      </c>
      <c r="B18" t="s">
        <v>38</v>
      </c>
      <c r="C18" t="s">
        <v>26</v>
      </c>
      <c r="D18" t="s">
        <v>29</v>
      </c>
      <c r="E18" t="s">
        <v>24</v>
      </c>
      <c r="F18" t="s">
        <v>15</v>
      </c>
      <c r="G18">
        <v>5</v>
      </c>
      <c r="H18">
        <v>4500</v>
      </c>
      <c r="I18">
        <f t="shared" si="0"/>
        <v>22500</v>
      </c>
      <c r="J18">
        <f t="shared" si="1"/>
        <v>1</v>
      </c>
    </row>
    <row r="19" spans="1:19" x14ac:dyDescent="0.3">
      <c r="A19">
        <v>1018</v>
      </c>
      <c r="B19" t="s">
        <v>39</v>
      </c>
      <c r="C19" t="s">
        <v>16</v>
      </c>
      <c r="D19" t="s">
        <v>31</v>
      </c>
      <c r="E19" t="s">
        <v>22</v>
      </c>
      <c r="F19" t="s">
        <v>12</v>
      </c>
      <c r="G19">
        <v>2</v>
      </c>
      <c r="H19">
        <v>12000</v>
      </c>
      <c r="I19">
        <f t="shared" si="0"/>
        <v>24000</v>
      </c>
      <c r="J19">
        <f t="shared" si="1"/>
        <v>3</v>
      </c>
    </row>
    <row r="20" spans="1:19" x14ac:dyDescent="0.3">
      <c r="A20">
        <v>1019</v>
      </c>
      <c r="B20" t="s">
        <v>40</v>
      </c>
      <c r="C20" t="s">
        <v>16</v>
      </c>
      <c r="D20" t="s">
        <v>29</v>
      </c>
      <c r="E20" t="s">
        <v>24</v>
      </c>
      <c r="F20" t="s">
        <v>15</v>
      </c>
      <c r="G20">
        <v>4</v>
      </c>
      <c r="H20">
        <v>4500</v>
      </c>
      <c r="I20">
        <f t="shared" si="0"/>
        <v>18000</v>
      </c>
      <c r="J20">
        <f t="shared" si="1"/>
        <v>2</v>
      </c>
      <c r="L20" s="9" t="s">
        <v>96</v>
      </c>
      <c r="M20" s="9"/>
      <c r="O20" s="9" t="s">
        <v>98</v>
      </c>
      <c r="P20" s="9"/>
      <c r="R20" s="9" t="s">
        <v>99</v>
      </c>
      <c r="S20" s="9"/>
    </row>
    <row r="21" spans="1:19" x14ac:dyDescent="0.3">
      <c r="A21">
        <v>1020</v>
      </c>
      <c r="B21" t="s">
        <v>41</v>
      </c>
      <c r="C21" t="s">
        <v>26</v>
      </c>
      <c r="D21" t="s">
        <v>31</v>
      </c>
      <c r="E21" t="s">
        <v>17</v>
      </c>
      <c r="F21" t="s">
        <v>15</v>
      </c>
      <c r="G21">
        <v>3</v>
      </c>
      <c r="H21">
        <v>25000</v>
      </c>
      <c r="I21">
        <f t="shared" si="0"/>
        <v>75000</v>
      </c>
      <c r="J21">
        <f t="shared" si="1"/>
        <v>1</v>
      </c>
      <c r="L21" s="1"/>
      <c r="M21" s="6"/>
    </row>
    <row r="22" spans="1:19" x14ac:dyDescent="0.3">
      <c r="A22">
        <v>1021</v>
      </c>
      <c r="B22" t="s">
        <v>42</v>
      </c>
      <c r="C22" t="s">
        <v>16</v>
      </c>
      <c r="D22" t="s">
        <v>31</v>
      </c>
      <c r="E22" t="s">
        <v>17</v>
      </c>
      <c r="F22" t="s">
        <v>15</v>
      </c>
      <c r="G22">
        <v>1</v>
      </c>
      <c r="H22">
        <v>25000</v>
      </c>
      <c r="I22">
        <f t="shared" si="0"/>
        <v>25000</v>
      </c>
      <c r="J22">
        <f t="shared" si="1"/>
        <v>3</v>
      </c>
      <c r="L22" s="3" t="s">
        <v>91</v>
      </c>
      <c r="M22" s="6" t="s">
        <v>95</v>
      </c>
      <c r="O22" s="3" t="s">
        <v>91</v>
      </c>
      <c r="P22" t="s">
        <v>95</v>
      </c>
      <c r="R22" s="3" t="s">
        <v>91</v>
      </c>
      <c r="S22" t="s">
        <v>95</v>
      </c>
    </row>
    <row r="23" spans="1:19" x14ac:dyDescent="0.3">
      <c r="A23">
        <v>1022</v>
      </c>
      <c r="B23" t="s">
        <v>43</v>
      </c>
      <c r="C23" t="s">
        <v>9</v>
      </c>
      <c r="D23" t="s">
        <v>21</v>
      </c>
      <c r="E23" t="s">
        <v>22</v>
      </c>
      <c r="F23" t="s">
        <v>12</v>
      </c>
      <c r="G23">
        <v>4</v>
      </c>
      <c r="H23">
        <v>12000</v>
      </c>
      <c r="I23">
        <f t="shared" si="0"/>
        <v>48000</v>
      </c>
      <c r="J23">
        <f t="shared" si="1"/>
        <v>3</v>
      </c>
      <c r="L23" s="4" t="s">
        <v>9</v>
      </c>
      <c r="M23" s="6">
        <v>1199000</v>
      </c>
      <c r="O23" s="4">
        <v>1</v>
      </c>
      <c r="P23">
        <v>2002000</v>
      </c>
      <c r="R23" s="4" t="s">
        <v>10</v>
      </c>
      <c r="S23">
        <v>1970500</v>
      </c>
    </row>
    <row r="24" spans="1:19" x14ac:dyDescent="0.3">
      <c r="A24">
        <v>1023</v>
      </c>
      <c r="B24" t="s">
        <v>44</v>
      </c>
      <c r="C24" t="s">
        <v>16</v>
      </c>
      <c r="D24" t="s">
        <v>31</v>
      </c>
      <c r="E24" t="s">
        <v>11</v>
      </c>
      <c r="F24" t="s">
        <v>12</v>
      </c>
      <c r="G24">
        <v>1</v>
      </c>
      <c r="H24">
        <v>20000</v>
      </c>
      <c r="I24">
        <f t="shared" si="0"/>
        <v>20000</v>
      </c>
      <c r="J24">
        <f t="shared" si="1"/>
        <v>1</v>
      </c>
      <c r="L24" s="4" t="s">
        <v>26</v>
      </c>
      <c r="M24" s="6">
        <v>1888500</v>
      </c>
      <c r="O24" s="4">
        <v>2</v>
      </c>
      <c r="P24">
        <v>1856000</v>
      </c>
      <c r="R24" s="4" t="s">
        <v>29</v>
      </c>
      <c r="S24">
        <v>1541000</v>
      </c>
    </row>
    <row r="25" spans="1:19" x14ac:dyDescent="0.3">
      <c r="A25">
        <v>1024</v>
      </c>
      <c r="B25" t="s">
        <v>45</v>
      </c>
      <c r="C25" t="s">
        <v>26</v>
      </c>
      <c r="D25" t="s">
        <v>29</v>
      </c>
      <c r="E25" t="s">
        <v>34</v>
      </c>
      <c r="F25" t="s">
        <v>12</v>
      </c>
      <c r="G25">
        <v>6</v>
      </c>
      <c r="H25">
        <v>55000</v>
      </c>
      <c r="I25">
        <f t="shared" si="0"/>
        <v>330000</v>
      </c>
      <c r="J25">
        <f t="shared" si="1"/>
        <v>3</v>
      </c>
      <c r="L25" s="4" t="s">
        <v>16</v>
      </c>
      <c r="M25" s="6">
        <v>1658000</v>
      </c>
      <c r="O25" s="4">
        <v>3</v>
      </c>
      <c r="P25">
        <v>2255500</v>
      </c>
      <c r="R25" s="4" t="s">
        <v>21</v>
      </c>
      <c r="S25">
        <v>942500</v>
      </c>
    </row>
    <row r="26" spans="1:19" x14ac:dyDescent="0.3">
      <c r="A26">
        <v>1025</v>
      </c>
      <c r="B26" t="s">
        <v>46</v>
      </c>
      <c r="C26" t="s">
        <v>19</v>
      </c>
      <c r="D26" t="s">
        <v>21</v>
      </c>
      <c r="E26" t="s">
        <v>11</v>
      </c>
      <c r="F26" t="s">
        <v>12</v>
      </c>
      <c r="G26">
        <v>1</v>
      </c>
      <c r="H26">
        <v>20000</v>
      </c>
      <c r="I26">
        <f t="shared" si="0"/>
        <v>20000</v>
      </c>
      <c r="J26">
        <f t="shared" si="1"/>
        <v>3</v>
      </c>
      <c r="L26" s="4" t="s">
        <v>19</v>
      </c>
      <c r="M26" s="6">
        <v>1368000</v>
      </c>
      <c r="O26" s="4" t="s">
        <v>92</v>
      </c>
      <c r="P26">
        <v>6113500</v>
      </c>
      <c r="R26" s="4" t="s">
        <v>31</v>
      </c>
      <c r="S26">
        <v>1659500</v>
      </c>
    </row>
    <row r="27" spans="1:19" x14ac:dyDescent="0.3">
      <c r="A27">
        <v>1026</v>
      </c>
      <c r="B27" t="s">
        <v>47</v>
      </c>
      <c r="C27" t="s">
        <v>16</v>
      </c>
      <c r="D27" t="s">
        <v>29</v>
      </c>
      <c r="E27" t="s">
        <v>24</v>
      </c>
      <c r="F27" t="s">
        <v>15</v>
      </c>
      <c r="G27">
        <v>5</v>
      </c>
      <c r="H27">
        <v>4500</v>
      </c>
      <c r="I27">
        <f t="shared" si="0"/>
        <v>22500</v>
      </c>
      <c r="J27">
        <f t="shared" si="1"/>
        <v>3</v>
      </c>
      <c r="L27" s="4" t="s">
        <v>92</v>
      </c>
      <c r="M27" s="6">
        <v>6113500</v>
      </c>
      <c r="R27" s="4" t="s">
        <v>92</v>
      </c>
      <c r="S27">
        <v>6113500</v>
      </c>
    </row>
    <row r="28" spans="1:19" x14ac:dyDescent="0.3">
      <c r="A28">
        <v>1027</v>
      </c>
      <c r="B28" t="s">
        <v>48</v>
      </c>
      <c r="C28" t="s">
        <v>26</v>
      </c>
      <c r="D28" t="s">
        <v>10</v>
      </c>
      <c r="E28" t="s">
        <v>34</v>
      </c>
      <c r="F28" t="s">
        <v>12</v>
      </c>
      <c r="G28">
        <v>6</v>
      </c>
      <c r="H28">
        <v>55000</v>
      </c>
      <c r="I28">
        <f t="shared" si="0"/>
        <v>330000</v>
      </c>
      <c r="J28">
        <f t="shared" si="1"/>
        <v>3</v>
      </c>
      <c r="M28" s="6"/>
      <c r="O28" t="s">
        <v>107</v>
      </c>
      <c r="P28">
        <f>MAX(P23:P25)</f>
        <v>2255500</v>
      </c>
    </row>
    <row r="29" spans="1:19" x14ac:dyDescent="0.3">
      <c r="A29">
        <v>1028</v>
      </c>
      <c r="B29" t="s">
        <v>49</v>
      </c>
      <c r="C29" t="s">
        <v>9</v>
      </c>
      <c r="D29" t="s">
        <v>10</v>
      </c>
      <c r="E29" t="s">
        <v>17</v>
      </c>
      <c r="F29" t="s">
        <v>15</v>
      </c>
      <c r="G29">
        <v>1</v>
      </c>
      <c r="H29">
        <v>25000</v>
      </c>
      <c r="I29">
        <f t="shared" si="0"/>
        <v>25000</v>
      </c>
      <c r="J29">
        <f t="shared" si="1"/>
        <v>2</v>
      </c>
      <c r="L29" s="4" t="s">
        <v>107</v>
      </c>
      <c r="M29" s="6">
        <f>MAX(M23:M26)</f>
        <v>1888500</v>
      </c>
      <c r="R29" s="4" t="s">
        <v>104</v>
      </c>
      <c r="S29">
        <f>MAX(S23:S26)</f>
        <v>1970500</v>
      </c>
    </row>
    <row r="30" spans="1:19" x14ac:dyDescent="0.3">
      <c r="A30">
        <v>1029</v>
      </c>
      <c r="B30" t="s">
        <v>50</v>
      </c>
      <c r="C30" t="s">
        <v>9</v>
      </c>
      <c r="D30" t="s">
        <v>10</v>
      </c>
      <c r="E30" t="s">
        <v>17</v>
      </c>
      <c r="F30" t="s">
        <v>15</v>
      </c>
      <c r="G30">
        <v>1</v>
      </c>
      <c r="H30">
        <v>25000</v>
      </c>
      <c r="I30">
        <f t="shared" si="0"/>
        <v>25000</v>
      </c>
      <c r="J30">
        <f t="shared" si="1"/>
        <v>1</v>
      </c>
    </row>
    <row r="31" spans="1:19" x14ac:dyDescent="0.3">
      <c r="A31">
        <v>1030</v>
      </c>
      <c r="B31" t="s">
        <v>32</v>
      </c>
      <c r="C31" t="s">
        <v>26</v>
      </c>
      <c r="D31" t="s">
        <v>21</v>
      </c>
      <c r="E31" t="s">
        <v>24</v>
      </c>
      <c r="F31" t="s">
        <v>15</v>
      </c>
      <c r="G31">
        <v>1</v>
      </c>
      <c r="H31">
        <v>4500</v>
      </c>
      <c r="I31">
        <f t="shared" si="0"/>
        <v>4500</v>
      </c>
      <c r="J31">
        <f t="shared" si="1"/>
        <v>2</v>
      </c>
    </row>
    <row r="32" spans="1:19" x14ac:dyDescent="0.3">
      <c r="A32">
        <v>1031</v>
      </c>
      <c r="B32" t="s">
        <v>18</v>
      </c>
      <c r="C32" t="s">
        <v>16</v>
      </c>
      <c r="D32" t="s">
        <v>10</v>
      </c>
      <c r="E32" t="s">
        <v>24</v>
      </c>
      <c r="F32" t="s">
        <v>15</v>
      </c>
      <c r="G32">
        <v>6</v>
      </c>
      <c r="H32">
        <v>4500</v>
      </c>
      <c r="I32">
        <f t="shared" si="0"/>
        <v>27000</v>
      </c>
      <c r="J32">
        <f t="shared" si="1"/>
        <v>1</v>
      </c>
    </row>
    <row r="33" spans="1:19" x14ac:dyDescent="0.3">
      <c r="A33">
        <v>1032</v>
      </c>
      <c r="B33" t="s">
        <v>51</v>
      </c>
      <c r="C33" t="s">
        <v>19</v>
      </c>
      <c r="D33" t="s">
        <v>10</v>
      </c>
      <c r="E33" t="s">
        <v>17</v>
      </c>
      <c r="F33" t="s">
        <v>15</v>
      </c>
      <c r="G33">
        <v>4</v>
      </c>
      <c r="H33">
        <v>25000</v>
      </c>
      <c r="I33">
        <f t="shared" si="0"/>
        <v>100000</v>
      </c>
      <c r="J33">
        <f t="shared" si="1"/>
        <v>2</v>
      </c>
      <c r="L33" s="9" t="s">
        <v>97</v>
      </c>
      <c r="M33" s="10"/>
      <c r="R33" s="1" t="s">
        <v>100</v>
      </c>
      <c r="S33" s="6">
        <f>SUM(H2:H101)</f>
        <v>1824000</v>
      </c>
    </row>
    <row r="34" spans="1:19" x14ac:dyDescent="0.3">
      <c r="A34">
        <v>1033</v>
      </c>
      <c r="B34" t="s">
        <v>52</v>
      </c>
      <c r="C34" t="s">
        <v>16</v>
      </c>
      <c r="D34" t="s">
        <v>21</v>
      </c>
      <c r="E34" t="s">
        <v>34</v>
      </c>
      <c r="F34" t="s">
        <v>12</v>
      </c>
      <c r="G34">
        <v>2</v>
      </c>
      <c r="H34">
        <v>55000</v>
      </c>
      <c r="I34">
        <f t="shared" si="0"/>
        <v>110000</v>
      </c>
      <c r="J34">
        <f t="shared" si="1"/>
        <v>3</v>
      </c>
      <c r="M34" s="6"/>
      <c r="O34" s="10" t="s">
        <v>106</v>
      </c>
      <c r="P34" s="10"/>
      <c r="S34" s="6"/>
    </row>
    <row r="35" spans="1:19" x14ac:dyDescent="0.3">
      <c r="A35">
        <v>1034</v>
      </c>
      <c r="B35" t="s">
        <v>53</v>
      </c>
      <c r="C35" t="s">
        <v>26</v>
      </c>
      <c r="D35" t="s">
        <v>10</v>
      </c>
      <c r="E35" t="s">
        <v>14</v>
      </c>
      <c r="F35" t="s">
        <v>15</v>
      </c>
      <c r="G35">
        <v>6</v>
      </c>
      <c r="H35">
        <v>8500</v>
      </c>
      <c r="I35">
        <f t="shared" si="0"/>
        <v>51000</v>
      </c>
      <c r="J35">
        <f t="shared" si="1"/>
        <v>2</v>
      </c>
      <c r="L35" s="3" t="s">
        <v>91</v>
      </c>
      <c r="M35" s="6" t="s">
        <v>95</v>
      </c>
      <c r="O35" s="3" t="s">
        <v>91</v>
      </c>
      <c r="P35" t="s">
        <v>95</v>
      </c>
      <c r="R35" s="1" t="s">
        <v>108</v>
      </c>
      <c r="S35" s="6" t="str">
        <f>_xlfn.XLOOKUP(M29,M23:M26,L23:L26)</f>
        <v>North</v>
      </c>
    </row>
    <row r="36" spans="1:19" x14ac:dyDescent="0.3">
      <c r="A36">
        <v>1035</v>
      </c>
      <c r="B36" t="s">
        <v>54</v>
      </c>
      <c r="C36" t="s">
        <v>26</v>
      </c>
      <c r="D36" t="s">
        <v>10</v>
      </c>
      <c r="E36" t="s">
        <v>17</v>
      </c>
      <c r="F36" t="s">
        <v>15</v>
      </c>
      <c r="G36">
        <v>1</v>
      </c>
      <c r="H36">
        <v>25000</v>
      </c>
      <c r="I36">
        <f t="shared" si="0"/>
        <v>25000</v>
      </c>
      <c r="J36">
        <f t="shared" si="1"/>
        <v>2</v>
      </c>
      <c r="L36" s="4" t="s">
        <v>24</v>
      </c>
      <c r="M36" s="6">
        <v>274500</v>
      </c>
      <c r="O36" s="4" t="s">
        <v>12</v>
      </c>
      <c r="P36">
        <v>3553000</v>
      </c>
      <c r="R36" s="1"/>
      <c r="S36" s="6"/>
    </row>
    <row r="37" spans="1:19" x14ac:dyDescent="0.3">
      <c r="A37">
        <v>1036</v>
      </c>
      <c r="B37" t="s">
        <v>55</v>
      </c>
      <c r="C37" t="s">
        <v>9</v>
      </c>
      <c r="D37" t="s">
        <v>31</v>
      </c>
      <c r="E37" t="s">
        <v>24</v>
      </c>
      <c r="F37" t="s">
        <v>15</v>
      </c>
      <c r="G37">
        <v>4</v>
      </c>
      <c r="H37">
        <v>4500</v>
      </c>
      <c r="I37">
        <f t="shared" si="0"/>
        <v>18000</v>
      </c>
      <c r="J37">
        <f t="shared" si="1"/>
        <v>1</v>
      </c>
      <c r="L37" s="4" t="s">
        <v>34</v>
      </c>
      <c r="M37" s="6">
        <v>1705000</v>
      </c>
      <c r="O37" s="4" t="s">
        <v>15</v>
      </c>
      <c r="P37">
        <v>2560500</v>
      </c>
      <c r="R37" s="1" t="s">
        <v>101</v>
      </c>
      <c r="S37" s="6" t="str">
        <f>_xlfn.XLOOKUP(M44,M36:M41,L36:L41)</f>
        <v>Sofa</v>
      </c>
    </row>
    <row r="38" spans="1:19" x14ac:dyDescent="0.3">
      <c r="A38">
        <v>1037</v>
      </c>
      <c r="B38" t="s">
        <v>56</v>
      </c>
      <c r="C38" t="s">
        <v>16</v>
      </c>
      <c r="D38" t="s">
        <v>31</v>
      </c>
      <c r="E38" t="s">
        <v>11</v>
      </c>
      <c r="F38" t="s">
        <v>12</v>
      </c>
      <c r="G38">
        <v>2</v>
      </c>
      <c r="H38">
        <v>20000</v>
      </c>
      <c r="I38">
        <f t="shared" si="0"/>
        <v>40000</v>
      </c>
      <c r="J38">
        <f t="shared" si="1"/>
        <v>2</v>
      </c>
      <c r="L38" s="4" t="s">
        <v>11</v>
      </c>
      <c r="M38" s="6">
        <v>1200000</v>
      </c>
      <c r="O38" s="4" t="s">
        <v>92</v>
      </c>
      <c r="P38">
        <v>6113500</v>
      </c>
      <c r="R38" s="1"/>
      <c r="S38" s="6"/>
    </row>
    <row r="39" spans="1:19" x14ac:dyDescent="0.3">
      <c r="A39">
        <v>1038</v>
      </c>
      <c r="B39" t="s">
        <v>57</v>
      </c>
      <c r="C39" t="s">
        <v>19</v>
      </c>
      <c r="D39" t="s">
        <v>29</v>
      </c>
      <c r="E39" t="s">
        <v>11</v>
      </c>
      <c r="F39" t="s">
        <v>12</v>
      </c>
      <c r="G39">
        <v>1</v>
      </c>
      <c r="H39">
        <v>20000</v>
      </c>
      <c r="I39">
        <f t="shared" si="0"/>
        <v>20000</v>
      </c>
      <c r="J39">
        <f t="shared" si="1"/>
        <v>1</v>
      </c>
      <c r="L39" s="4" t="s">
        <v>22</v>
      </c>
      <c r="M39" s="6">
        <v>648000</v>
      </c>
      <c r="R39" s="1" t="s">
        <v>103</v>
      </c>
      <c r="S39" s="6" t="str">
        <f>_xlfn.XLOOKUP(S29,S23:S26,R23:R26)</f>
        <v>Anil</v>
      </c>
    </row>
    <row r="40" spans="1:19" x14ac:dyDescent="0.3">
      <c r="A40">
        <v>1039</v>
      </c>
      <c r="B40" t="s">
        <v>52</v>
      </c>
      <c r="C40" t="s">
        <v>26</v>
      </c>
      <c r="D40" t="s">
        <v>31</v>
      </c>
      <c r="E40" t="s">
        <v>11</v>
      </c>
      <c r="F40" t="s">
        <v>12</v>
      </c>
      <c r="G40">
        <v>1</v>
      </c>
      <c r="H40">
        <v>20000</v>
      </c>
      <c r="I40">
        <f t="shared" si="0"/>
        <v>20000</v>
      </c>
      <c r="J40">
        <f t="shared" si="1"/>
        <v>3</v>
      </c>
      <c r="L40" s="4" t="s">
        <v>17</v>
      </c>
      <c r="M40" s="6">
        <v>1725000</v>
      </c>
    </row>
    <row r="41" spans="1:19" x14ac:dyDescent="0.3">
      <c r="A41">
        <v>1040</v>
      </c>
      <c r="B41" t="s">
        <v>37</v>
      </c>
      <c r="C41" t="s">
        <v>16</v>
      </c>
      <c r="D41" t="s">
        <v>10</v>
      </c>
      <c r="E41" t="s">
        <v>11</v>
      </c>
      <c r="F41" t="s">
        <v>12</v>
      </c>
      <c r="G41">
        <v>4</v>
      </c>
      <c r="H41">
        <v>20000</v>
      </c>
      <c r="I41">
        <f t="shared" si="0"/>
        <v>80000</v>
      </c>
      <c r="J41">
        <f t="shared" si="1"/>
        <v>3</v>
      </c>
      <c r="L41" s="4" t="s">
        <v>14</v>
      </c>
      <c r="M41" s="6">
        <v>561000</v>
      </c>
    </row>
    <row r="42" spans="1:19" x14ac:dyDescent="0.3">
      <c r="A42">
        <v>1041</v>
      </c>
      <c r="B42" t="s">
        <v>58</v>
      </c>
      <c r="C42" t="s">
        <v>26</v>
      </c>
      <c r="D42" t="s">
        <v>10</v>
      </c>
      <c r="E42" t="s">
        <v>17</v>
      </c>
      <c r="F42" t="s">
        <v>15</v>
      </c>
      <c r="G42">
        <v>6</v>
      </c>
      <c r="H42">
        <v>25000</v>
      </c>
      <c r="I42">
        <f t="shared" si="0"/>
        <v>150000</v>
      </c>
      <c r="J42">
        <f t="shared" si="1"/>
        <v>2</v>
      </c>
      <c r="L42" s="4" t="s">
        <v>92</v>
      </c>
      <c r="M42" s="6">
        <v>6113500</v>
      </c>
    </row>
    <row r="43" spans="1:19" x14ac:dyDescent="0.3">
      <c r="A43">
        <v>1042</v>
      </c>
      <c r="B43" t="s">
        <v>59</v>
      </c>
      <c r="C43" t="s">
        <v>16</v>
      </c>
      <c r="D43" t="s">
        <v>21</v>
      </c>
      <c r="E43" t="s">
        <v>14</v>
      </c>
      <c r="F43" t="s">
        <v>15</v>
      </c>
      <c r="G43">
        <v>4</v>
      </c>
      <c r="H43">
        <v>8500</v>
      </c>
      <c r="I43">
        <f t="shared" si="0"/>
        <v>34000</v>
      </c>
      <c r="J43">
        <f t="shared" si="1"/>
        <v>3</v>
      </c>
      <c r="M43" s="6"/>
    </row>
    <row r="44" spans="1:19" x14ac:dyDescent="0.3">
      <c r="A44">
        <v>1043</v>
      </c>
      <c r="B44" t="s">
        <v>48</v>
      </c>
      <c r="C44" t="s">
        <v>26</v>
      </c>
      <c r="D44" t="s">
        <v>10</v>
      </c>
      <c r="E44" t="s">
        <v>17</v>
      </c>
      <c r="F44" t="s">
        <v>15</v>
      </c>
      <c r="G44">
        <v>2</v>
      </c>
      <c r="H44">
        <v>25000</v>
      </c>
      <c r="I44">
        <f t="shared" si="0"/>
        <v>50000</v>
      </c>
      <c r="J44">
        <f t="shared" si="1"/>
        <v>3</v>
      </c>
      <c r="L44" s="7" t="s">
        <v>102</v>
      </c>
      <c r="M44" s="6">
        <f>MAX(M36:M41)</f>
        <v>1725000</v>
      </c>
    </row>
    <row r="45" spans="1:19" x14ac:dyDescent="0.3">
      <c r="A45">
        <v>1044</v>
      </c>
      <c r="B45" t="s">
        <v>60</v>
      </c>
      <c r="C45" t="s">
        <v>16</v>
      </c>
      <c r="D45" t="s">
        <v>21</v>
      </c>
      <c r="E45" t="s">
        <v>24</v>
      </c>
      <c r="F45" t="s">
        <v>15</v>
      </c>
      <c r="G45">
        <v>3</v>
      </c>
      <c r="H45">
        <v>4500</v>
      </c>
      <c r="I45">
        <f t="shared" si="0"/>
        <v>13500</v>
      </c>
      <c r="J45">
        <f t="shared" si="1"/>
        <v>1</v>
      </c>
      <c r="M45"/>
    </row>
    <row r="46" spans="1:19" x14ac:dyDescent="0.3">
      <c r="A46">
        <v>1045</v>
      </c>
      <c r="B46" t="s">
        <v>47</v>
      </c>
      <c r="C46" t="s">
        <v>26</v>
      </c>
      <c r="D46" t="s">
        <v>21</v>
      </c>
      <c r="E46" t="s">
        <v>34</v>
      </c>
      <c r="F46" t="s">
        <v>12</v>
      </c>
      <c r="G46">
        <v>5</v>
      </c>
      <c r="H46">
        <v>55000</v>
      </c>
      <c r="I46">
        <f t="shared" si="0"/>
        <v>275000</v>
      </c>
      <c r="J46">
        <f t="shared" si="1"/>
        <v>3</v>
      </c>
    </row>
    <row r="47" spans="1:19" x14ac:dyDescent="0.3">
      <c r="A47">
        <v>1046</v>
      </c>
      <c r="B47" t="s">
        <v>46</v>
      </c>
      <c r="C47" t="s">
        <v>19</v>
      </c>
      <c r="D47" t="s">
        <v>29</v>
      </c>
      <c r="E47" t="s">
        <v>17</v>
      </c>
      <c r="F47" t="s">
        <v>15</v>
      </c>
      <c r="G47">
        <v>6</v>
      </c>
      <c r="H47">
        <v>25000</v>
      </c>
      <c r="I47">
        <f t="shared" si="0"/>
        <v>150000</v>
      </c>
      <c r="J47">
        <f t="shared" si="1"/>
        <v>3</v>
      </c>
    </row>
    <row r="48" spans="1:19" x14ac:dyDescent="0.3">
      <c r="A48">
        <v>1047</v>
      </c>
      <c r="B48" t="s">
        <v>61</v>
      </c>
      <c r="C48" t="s">
        <v>19</v>
      </c>
      <c r="D48" t="s">
        <v>29</v>
      </c>
      <c r="E48" t="s">
        <v>17</v>
      </c>
      <c r="F48" t="s">
        <v>15</v>
      </c>
      <c r="G48">
        <v>4</v>
      </c>
      <c r="H48">
        <v>25000</v>
      </c>
      <c r="I48">
        <f t="shared" si="0"/>
        <v>100000</v>
      </c>
      <c r="J48">
        <f t="shared" si="1"/>
        <v>3</v>
      </c>
    </row>
    <row r="49" spans="1:13" x14ac:dyDescent="0.3">
      <c r="A49">
        <v>1048</v>
      </c>
      <c r="B49" t="s">
        <v>54</v>
      </c>
      <c r="C49" t="s">
        <v>16</v>
      </c>
      <c r="D49" t="s">
        <v>10</v>
      </c>
      <c r="E49" t="s">
        <v>11</v>
      </c>
      <c r="F49" t="s">
        <v>12</v>
      </c>
      <c r="G49">
        <v>6</v>
      </c>
      <c r="H49">
        <v>20000</v>
      </c>
      <c r="I49">
        <f t="shared" si="0"/>
        <v>120000</v>
      </c>
      <c r="J49">
        <f t="shared" si="1"/>
        <v>2</v>
      </c>
    </row>
    <row r="50" spans="1:13" x14ac:dyDescent="0.3">
      <c r="A50">
        <v>1049</v>
      </c>
      <c r="B50" t="s">
        <v>62</v>
      </c>
      <c r="C50" t="s">
        <v>9</v>
      </c>
      <c r="D50" t="s">
        <v>21</v>
      </c>
      <c r="E50" t="s">
        <v>17</v>
      </c>
      <c r="F50" t="s">
        <v>15</v>
      </c>
      <c r="G50">
        <v>3</v>
      </c>
      <c r="H50">
        <v>25000</v>
      </c>
      <c r="I50">
        <f t="shared" si="0"/>
        <v>75000</v>
      </c>
      <c r="J50">
        <f t="shared" si="1"/>
        <v>2</v>
      </c>
    </row>
    <row r="51" spans="1:13" x14ac:dyDescent="0.3">
      <c r="A51">
        <v>1050</v>
      </c>
      <c r="B51" t="s">
        <v>63</v>
      </c>
      <c r="C51" t="s">
        <v>9</v>
      </c>
      <c r="D51" t="s">
        <v>10</v>
      </c>
      <c r="E51" t="s">
        <v>14</v>
      </c>
      <c r="F51" t="s">
        <v>15</v>
      </c>
      <c r="G51">
        <v>6</v>
      </c>
      <c r="H51">
        <v>8500</v>
      </c>
      <c r="I51">
        <f t="shared" si="0"/>
        <v>51000</v>
      </c>
      <c r="J51">
        <f t="shared" si="1"/>
        <v>2</v>
      </c>
    </row>
    <row r="52" spans="1:13" x14ac:dyDescent="0.3">
      <c r="A52">
        <v>1051</v>
      </c>
      <c r="B52" t="s">
        <v>64</v>
      </c>
      <c r="C52" t="s">
        <v>26</v>
      </c>
      <c r="D52" t="s">
        <v>31</v>
      </c>
      <c r="E52" t="s">
        <v>22</v>
      </c>
      <c r="F52" t="s">
        <v>12</v>
      </c>
      <c r="G52">
        <v>3</v>
      </c>
      <c r="H52">
        <v>12000</v>
      </c>
      <c r="I52">
        <f t="shared" si="0"/>
        <v>36000</v>
      </c>
      <c r="J52">
        <f t="shared" si="1"/>
        <v>2</v>
      </c>
    </row>
    <row r="53" spans="1:13" x14ac:dyDescent="0.3">
      <c r="A53">
        <v>1052</v>
      </c>
      <c r="B53" t="s">
        <v>46</v>
      </c>
      <c r="C53" t="s">
        <v>26</v>
      </c>
      <c r="D53" t="s">
        <v>21</v>
      </c>
      <c r="E53" t="s">
        <v>14</v>
      </c>
      <c r="F53" t="s">
        <v>15</v>
      </c>
      <c r="G53">
        <v>5</v>
      </c>
      <c r="H53">
        <v>8500</v>
      </c>
      <c r="I53">
        <f t="shared" si="0"/>
        <v>42500</v>
      </c>
      <c r="J53">
        <f t="shared" si="1"/>
        <v>3</v>
      </c>
    </row>
    <row r="54" spans="1:13" x14ac:dyDescent="0.3">
      <c r="A54">
        <v>1053</v>
      </c>
      <c r="B54" t="s">
        <v>65</v>
      </c>
      <c r="C54" t="s">
        <v>19</v>
      </c>
      <c r="D54" t="s">
        <v>10</v>
      </c>
      <c r="E54" t="s">
        <v>22</v>
      </c>
      <c r="F54" t="s">
        <v>12</v>
      </c>
      <c r="G54">
        <v>1</v>
      </c>
      <c r="H54">
        <v>12000</v>
      </c>
      <c r="I54">
        <f t="shared" si="0"/>
        <v>12000</v>
      </c>
      <c r="J54">
        <f t="shared" si="1"/>
        <v>1</v>
      </c>
    </row>
    <row r="55" spans="1:13" x14ac:dyDescent="0.3">
      <c r="A55">
        <v>1054</v>
      </c>
      <c r="B55" t="s">
        <v>66</v>
      </c>
      <c r="C55" t="s">
        <v>16</v>
      </c>
      <c r="D55" t="s">
        <v>31</v>
      </c>
      <c r="E55" t="s">
        <v>14</v>
      </c>
      <c r="F55" t="s">
        <v>15</v>
      </c>
      <c r="G55">
        <v>6</v>
      </c>
      <c r="H55">
        <v>8500</v>
      </c>
      <c r="I55">
        <f t="shared" si="0"/>
        <v>51000</v>
      </c>
      <c r="J55">
        <f t="shared" si="1"/>
        <v>1</v>
      </c>
    </row>
    <row r="56" spans="1:13" x14ac:dyDescent="0.3">
      <c r="A56">
        <v>1055</v>
      </c>
      <c r="B56" t="s">
        <v>45</v>
      </c>
      <c r="C56" t="s">
        <v>26</v>
      </c>
      <c r="D56" t="s">
        <v>21</v>
      </c>
      <c r="E56" t="s">
        <v>14</v>
      </c>
      <c r="F56" t="s">
        <v>15</v>
      </c>
      <c r="G56">
        <v>4</v>
      </c>
      <c r="H56">
        <v>8500</v>
      </c>
      <c r="I56">
        <f t="shared" si="0"/>
        <v>34000</v>
      </c>
      <c r="J56">
        <f t="shared" si="1"/>
        <v>3</v>
      </c>
    </row>
    <row r="57" spans="1:13" x14ac:dyDescent="0.3">
      <c r="A57">
        <v>1056</v>
      </c>
      <c r="B57" t="s">
        <v>40</v>
      </c>
      <c r="C57" t="s">
        <v>9</v>
      </c>
      <c r="D57" t="s">
        <v>29</v>
      </c>
      <c r="E57" t="s">
        <v>24</v>
      </c>
      <c r="F57" t="s">
        <v>15</v>
      </c>
      <c r="G57">
        <v>5</v>
      </c>
      <c r="H57">
        <v>4500</v>
      </c>
      <c r="I57">
        <f t="shared" si="0"/>
        <v>22500</v>
      </c>
      <c r="J57">
        <f t="shared" si="1"/>
        <v>2</v>
      </c>
    </row>
    <row r="58" spans="1:13" x14ac:dyDescent="0.3">
      <c r="A58">
        <v>1057</v>
      </c>
      <c r="B58" t="s">
        <v>54</v>
      </c>
      <c r="C58" t="s">
        <v>19</v>
      </c>
      <c r="D58" t="s">
        <v>29</v>
      </c>
      <c r="E58" t="s">
        <v>24</v>
      </c>
      <c r="F58" t="s">
        <v>15</v>
      </c>
      <c r="G58">
        <v>4</v>
      </c>
      <c r="H58">
        <v>4500</v>
      </c>
      <c r="I58">
        <f t="shared" si="0"/>
        <v>18000</v>
      </c>
      <c r="J58">
        <f t="shared" si="1"/>
        <v>2</v>
      </c>
      <c r="M58"/>
    </row>
    <row r="59" spans="1:13" x14ac:dyDescent="0.3">
      <c r="A59">
        <v>1058</v>
      </c>
      <c r="B59" t="s">
        <v>67</v>
      </c>
      <c r="C59" t="s">
        <v>26</v>
      </c>
      <c r="D59" t="s">
        <v>10</v>
      </c>
      <c r="E59" t="s">
        <v>14</v>
      </c>
      <c r="F59" t="s">
        <v>15</v>
      </c>
      <c r="G59">
        <v>2</v>
      </c>
      <c r="H59">
        <v>8500</v>
      </c>
      <c r="I59">
        <f t="shared" si="0"/>
        <v>17000</v>
      </c>
      <c r="J59">
        <f t="shared" si="1"/>
        <v>1</v>
      </c>
      <c r="M59"/>
    </row>
    <row r="60" spans="1:13" x14ac:dyDescent="0.3">
      <c r="A60">
        <v>1059</v>
      </c>
      <c r="B60" t="s">
        <v>68</v>
      </c>
      <c r="C60" t="s">
        <v>19</v>
      </c>
      <c r="D60" t="s">
        <v>31</v>
      </c>
      <c r="E60" t="s">
        <v>11</v>
      </c>
      <c r="F60" t="s">
        <v>12</v>
      </c>
      <c r="G60">
        <v>5</v>
      </c>
      <c r="H60">
        <v>20000</v>
      </c>
      <c r="I60">
        <f t="shared" si="0"/>
        <v>100000</v>
      </c>
      <c r="J60">
        <f t="shared" si="1"/>
        <v>1</v>
      </c>
      <c r="M60"/>
    </row>
    <row r="61" spans="1:13" x14ac:dyDescent="0.3">
      <c r="A61">
        <v>1060</v>
      </c>
      <c r="B61" t="s">
        <v>69</v>
      </c>
      <c r="C61" t="s">
        <v>16</v>
      </c>
      <c r="D61" t="s">
        <v>21</v>
      </c>
      <c r="E61" t="s">
        <v>34</v>
      </c>
      <c r="F61" t="s">
        <v>12</v>
      </c>
      <c r="G61">
        <v>2</v>
      </c>
      <c r="H61">
        <v>55000</v>
      </c>
      <c r="I61">
        <f t="shared" si="0"/>
        <v>110000</v>
      </c>
      <c r="J61">
        <f t="shared" si="1"/>
        <v>1</v>
      </c>
      <c r="M61"/>
    </row>
    <row r="62" spans="1:13" x14ac:dyDescent="0.3">
      <c r="A62">
        <v>1061</v>
      </c>
      <c r="B62" t="s">
        <v>70</v>
      </c>
      <c r="C62" t="s">
        <v>19</v>
      </c>
      <c r="D62" t="s">
        <v>31</v>
      </c>
      <c r="E62" t="s">
        <v>22</v>
      </c>
      <c r="F62" t="s">
        <v>12</v>
      </c>
      <c r="G62">
        <v>5</v>
      </c>
      <c r="H62">
        <v>12000</v>
      </c>
      <c r="I62">
        <f t="shared" si="0"/>
        <v>60000</v>
      </c>
      <c r="J62">
        <f t="shared" si="1"/>
        <v>3</v>
      </c>
      <c r="M62"/>
    </row>
    <row r="63" spans="1:13" x14ac:dyDescent="0.3">
      <c r="A63">
        <v>1062</v>
      </c>
      <c r="B63" t="s">
        <v>44</v>
      </c>
      <c r="C63" t="s">
        <v>16</v>
      </c>
      <c r="D63" t="s">
        <v>10</v>
      </c>
      <c r="E63" t="s">
        <v>17</v>
      </c>
      <c r="F63" t="s">
        <v>15</v>
      </c>
      <c r="G63">
        <v>5</v>
      </c>
      <c r="H63">
        <v>25000</v>
      </c>
      <c r="I63">
        <f t="shared" si="0"/>
        <v>125000</v>
      </c>
      <c r="J63">
        <f t="shared" si="1"/>
        <v>1</v>
      </c>
      <c r="M63"/>
    </row>
    <row r="64" spans="1:13" x14ac:dyDescent="0.3">
      <c r="A64">
        <v>1063</v>
      </c>
      <c r="B64" t="s">
        <v>41</v>
      </c>
      <c r="C64" t="s">
        <v>16</v>
      </c>
      <c r="D64" t="s">
        <v>29</v>
      </c>
      <c r="E64" t="s">
        <v>14</v>
      </c>
      <c r="F64" t="s">
        <v>15</v>
      </c>
      <c r="G64">
        <v>2</v>
      </c>
      <c r="H64">
        <v>8500</v>
      </c>
      <c r="I64">
        <f t="shared" si="0"/>
        <v>17000</v>
      </c>
      <c r="J64">
        <f t="shared" si="1"/>
        <v>1</v>
      </c>
      <c r="M64"/>
    </row>
    <row r="65" spans="1:13" x14ac:dyDescent="0.3">
      <c r="A65">
        <v>1064</v>
      </c>
      <c r="B65" t="s">
        <v>71</v>
      </c>
      <c r="C65" t="s">
        <v>26</v>
      </c>
      <c r="D65" t="s">
        <v>10</v>
      </c>
      <c r="E65" t="s">
        <v>22</v>
      </c>
      <c r="F65" t="s">
        <v>12</v>
      </c>
      <c r="G65">
        <v>2</v>
      </c>
      <c r="H65">
        <v>12000</v>
      </c>
      <c r="I65">
        <f t="shared" si="0"/>
        <v>24000</v>
      </c>
      <c r="J65">
        <f t="shared" si="1"/>
        <v>2</v>
      </c>
      <c r="M65"/>
    </row>
    <row r="66" spans="1:13" x14ac:dyDescent="0.3">
      <c r="A66">
        <v>1065</v>
      </c>
      <c r="B66" t="s">
        <v>72</v>
      </c>
      <c r="C66" t="s">
        <v>9</v>
      </c>
      <c r="D66" t="s">
        <v>31</v>
      </c>
      <c r="E66" t="s">
        <v>22</v>
      </c>
      <c r="F66" t="s">
        <v>12</v>
      </c>
      <c r="G66">
        <v>4</v>
      </c>
      <c r="H66">
        <v>12000</v>
      </c>
      <c r="I66">
        <f t="shared" si="0"/>
        <v>48000</v>
      </c>
      <c r="J66">
        <f t="shared" si="1"/>
        <v>1</v>
      </c>
    </row>
    <row r="67" spans="1:13" x14ac:dyDescent="0.3">
      <c r="A67">
        <v>1066</v>
      </c>
      <c r="B67" t="s">
        <v>73</v>
      </c>
      <c r="C67" t="s">
        <v>16</v>
      </c>
      <c r="D67" t="s">
        <v>10</v>
      </c>
      <c r="E67" t="s">
        <v>34</v>
      </c>
      <c r="F67" t="s">
        <v>12</v>
      </c>
      <c r="G67">
        <v>1</v>
      </c>
      <c r="H67">
        <v>55000</v>
      </c>
      <c r="I67">
        <f t="shared" ref="I67:I101" si="2">G67*H67</f>
        <v>55000</v>
      </c>
      <c r="J67">
        <f t="shared" ref="J67:J101" si="3">MONTH(B67)</f>
        <v>1</v>
      </c>
    </row>
    <row r="68" spans="1:13" x14ac:dyDescent="0.3">
      <c r="A68">
        <v>1067</v>
      </c>
      <c r="B68" t="s">
        <v>48</v>
      </c>
      <c r="C68" t="s">
        <v>16</v>
      </c>
      <c r="D68" t="s">
        <v>31</v>
      </c>
      <c r="E68" t="s">
        <v>17</v>
      </c>
      <c r="F68" t="s">
        <v>15</v>
      </c>
      <c r="G68">
        <v>5</v>
      </c>
      <c r="H68">
        <v>25000</v>
      </c>
      <c r="I68">
        <f t="shared" si="2"/>
        <v>125000</v>
      </c>
      <c r="J68">
        <f t="shared" si="3"/>
        <v>3</v>
      </c>
    </row>
    <row r="69" spans="1:13" x14ac:dyDescent="0.3">
      <c r="A69">
        <v>1068</v>
      </c>
      <c r="B69" t="s">
        <v>74</v>
      </c>
      <c r="C69" t="s">
        <v>19</v>
      </c>
      <c r="D69" t="s">
        <v>31</v>
      </c>
      <c r="E69" t="s">
        <v>17</v>
      </c>
      <c r="F69" t="s">
        <v>15</v>
      </c>
      <c r="G69">
        <v>1</v>
      </c>
      <c r="H69">
        <v>25000</v>
      </c>
      <c r="I69">
        <f t="shared" si="2"/>
        <v>25000</v>
      </c>
      <c r="J69">
        <f t="shared" si="3"/>
        <v>1</v>
      </c>
    </row>
    <row r="70" spans="1:13" x14ac:dyDescent="0.3">
      <c r="A70">
        <v>1069</v>
      </c>
      <c r="B70" t="s">
        <v>75</v>
      </c>
      <c r="C70" t="s">
        <v>19</v>
      </c>
      <c r="D70" t="s">
        <v>29</v>
      </c>
      <c r="E70" t="s">
        <v>22</v>
      </c>
      <c r="F70" t="s">
        <v>12</v>
      </c>
      <c r="G70">
        <v>1</v>
      </c>
      <c r="H70">
        <v>12000</v>
      </c>
      <c r="I70">
        <f t="shared" si="2"/>
        <v>12000</v>
      </c>
      <c r="J70">
        <f t="shared" si="3"/>
        <v>3</v>
      </c>
    </row>
    <row r="71" spans="1:13" x14ac:dyDescent="0.3">
      <c r="A71">
        <v>1070</v>
      </c>
      <c r="B71" t="s">
        <v>65</v>
      </c>
      <c r="C71" t="s">
        <v>26</v>
      </c>
      <c r="D71" t="s">
        <v>31</v>
      </c>
      <c r="E71" t="s">
        <v>17</v>
      </c>
      <c r="F71" t="s">
        <v>15</v>
      </c>
      <c r="G71">
        <v>1</v>
      </c>
      <c r="H71">
        <v>25000</v>
      </c>
      <c r="I71">
        <f t="shared" si="2"/>
        <v>25000</v>
      </c>
      <c r="J71">
        <f t="shared" si="3"/>
        <v>1</v>
      </c>
    </row>
    <row r="72" spans="1:13" x14ac:dyDescent="0.3">
      <c r="A72">
        <v>1071</v>
      </c>
      <c r="B72" t="s">
        <v>76</v>
      </c>
      <c r="C72" t="s">
        <v>9</v>
      </c>
      <c r="D72" t="s">
        <v>31</v>
      </c>
      <c r="E72" t="s">
        <v>22</v>
      </c>
      <c r="F72" t="s">
        <v>12</v>
      </c>
      <c r="G72">
        <v>6</v>
      </c>
      <c r="H72">
        <v>12000</v>
      </c>
      <c r="I72">
        <f t="shared" si="2"/>
        <v>72000</v>
      </c>
      <c r="J72">
        <f t="shared" si="3"/>
        <v>2</v>
      </c>
    </row>
    <row r="73" spans="1:13" x14ac:dyDescent="0.3">
      <c r="A73">
        <v>1072</v>
      </c>
      <c r="B73" t="s">
        <v>77</v>
      </c>
      <c r="C73" t="s">
        <v>16</v>
      </c>
      <c r="D73" t="s">
        <v>10</v>
      </c>
      <c r="E73" t="s">
        <v>24</v>
      </c>
      <c r="F73" t="s">
        <v>15</v>
      </c>
      <c r="G73">
        <v>1</v>
      </c>
      <c r="H73">
        <v>4500</v>
      </c>
      <c r="I73">
        <f t="shared" si="2"/>
        <v>4500</v>
      </c>
      <c r="J73">
        <f t="shared" si="3"/>
        <v>1</v>
      </c>
    </row>
    <row r="74" spans="1:13" x14ac:dyDescent="0.3">
      <c r="A74">
        <v>1073</v>
      </c>
      <c r="B74" t="s">
        <v>78</v>
      </c>
      <c r="C74" t="s">
        <v>26</v>
      </c>
      <c r="D74" t="s">
        <v>10</v>
      </c>
      <c r="E74" t="s">
        <v>11</v>
      </c>
      <c r="F74" t="s">
        <v>12</v>
      </c>
      <c r="G74">
        <v>1</v>
      </c>
      <c r="H74">
        <v>20000</v>
      </c>
      <c r="I74">
        <f t="shared" si="2"/>
        <v>20000</v>
      </c>
      <c r="J74">
        <f t="shared" si="3"/>
        <v>2</v>
      </c>
    </row>
    <row r="75" spans="1:13" x14ac:dyDescent="0.3">
      <c r="A75">
        <v>1074</v>
      </c>
      <c r="B75" t="s">
        <v>79</v>
      </c>
      <c r="C75" t="s">
        <v>19</v>
      </c>
      <c r="D75" t="s">
        <v>10</v>
      </c>
      <c r="E75" t="s">
        <v>22</v>
      </c>
      <c r="F75" t="s">
        <v>12</v>
      </c>
      <c r="G75">
        <v>3</v>
      </c>
      <c r="H75">
        <v>12000</v>
      </c>
      <c r="I75">
        <f t="shared" si="2"/>
        <v>36000</v>
      </c>
      <c r="J75">
        <f t="shared" si="3"/>
        <v>1</v>
      </c>
    </row>
    <row r="76" spans="1:13" x14ac:dyDescent="0.3">
      <c r="A76">
        <v>1075</v>
      </c>
      <c r="B76" t="s">
        <v>56</v>
      </c>
      <c r="C76" t="s">
        <v>19</v>
      </c>
      <c r="D76" t="s">
        <v>31</v>
      </c>
      <c r="E76" t="s">
        <v>14</v>
      </c>
      <c r="F76" t="s">
        <v>15</v>
      </c>
      <c r="G76">
        <v>5</v>
      </c>
      <c r="H76">
        <v>8500</v>
      </c>
      <c r="I76">
        <f t="shared" si="2"/>
        <v>42500</v>
      </c>
      <c r="J76">
        <f t="shared" si="3"/>
        <v>2</v>
      </c>
    </row>
    <row r="77" spans="1:13" x14ac:dyDescent="0.3">
      <c r="A77">
        <v>1076</v>
      </c>
      <c r="B77" t="s">
        <v>80</v>
      </c>
      <c r="C77" t="s">
        <v>9</v>
      </c>
      <c r="D77" t="s">
        <v>29</v>
      </c>
      <c r="E77" t="s">
        <v>11</v>
      </c>
      <c r="F77" t="s">
        <v>12</v>
      </c>
      <c r="G77">
        <v>6</v>
      </c>
      <c r="H77">
        <v>20000</v>
      </c>
      <c r="I77">
        <f t="shared" si="2"/>
        <v>120000</v>
      </c>
      <c r="J77">
        <f t="shared" si="3"/>
        <v>1</v>
      </c>
    </row>
    <row r="78" spans="1:13" x14ac:dyDescent="0.3">
      <c r="A78">
        <v>1077</v>
      </c>
      <c r="B78" t="s">
        <v>47</v>
      </c>
      <c r="C78" t="s">
        <v>19</v>
      </c>
      <c r="D78" t="s">
        <v>29</v>
      </c>
      <c r="E78" t="s">
        <v>17</v>
      </c>
      <c r="F78" t="s">
        <v>15</v>
      </c>
      <c r="G78">
        <v>6</v>
      </c>
      <c r="H78">
        <v>25000</v>
      </c>
      <c r="I78">
        <f t="shared" si="2"/>
        <v>150000</v>
      </c>
      <c r="J78">
        <f t="shared" si="3"/>
        <v>3</v>
      </c>
    </row>
    <row r="79" spans="1:13" x14ac:dyDescent="0.3">
      <c r="A79">
        <v>1078</v>
      </c>
      <c r="B79" t="s">
        <v>81</v>
      </c>
      <c r="C79" t="s">
        <v>26</v>
      </c>
      <c r="D79" t="s">
        <v>31</v>
      </c>
      <c r="E79" t="s">
        <v>11</v>
      </c>
      <c r="F79" t="s">
        <v>12</v>
      </c>
      <c r="G79">
        <v>4</v>
      </c>
      <c r="H79">
        <v>20000</v>
      </c>
      <c r="I79">
        <f t="shared" si="2"/>
        <v>80000</v>
      </c>
      <c r="J79">
        <f t="shared" si="3"/>
        <v>3</v>
      </c>
    </row>
    <row r="80" spans="1:13" x14ac:dyDescent="0.3">
      <c r="A80">
        <v>1079</v>
      </c>
      <c r="B80" t="s">
        <v>82</v>
      </c>
      <c r="C80" t="s">
        <v>19</v>
      </c>
      <c r="D80" t="s">
        <v>31</v>
      </c>
      <c r="E80" t="s">
        <v>11</v>
      </c>
      <c r="F80" t="s">
        <v>12</v>
      </c>
      <c r="G80">
        <v>3</v>
      </c>
      <c r="H80">
        <v>20000</v>
      </c>
      <c r="I80">
        <f t="shared" si="2"/>
        <v>60000</v>
      </c>
      <c r="J80">
        <f t="shared" si="3"/>
        <v>1</v>
      </c>
    </row>
    <row r="81" spans="1:10" x14ac:dyDescent="0.3">
      <c r="A81">
        <v>1080</v>
      </c>
      <c r="B81" t="s">
        <v>83</v>
      </c>
      <c r="C81" t="s">
        <v>26</v>
      </c>
      <c r="D81" t="s">
        <v>10</v>
      </c>
      <c r="E81" t="s">
        <v>22</v>
      </c>
      <c r="F81" t="s">
        <v>12</v>
      </c>
      <c r="G81">
        <v>2</v>
      </c>
      <c r="H81">
        <v>12000</v>
      </c>
      <c r="I81">
        <f t="shared" si="2"/>
        <v>24000</v>
      </c>
      <c r="J81">
        <f t="shared" si="3"/>
        <v>2</v>
      </c>
    </row>
    <row r="82" spans="1:10" x14ac:dyDescent="0.3">
      <c r="A82">
        <v>1081</v>
      </c>
      <c r="B82" t="s">
        <v>35</v>
      </c>
      <c r="C82" t="s">
        <v>26</v>
      </c>
      <c r="D82" t="s">
        <v>29</v>
      </c>
      <c r="E82" t="s">
        <v>11</v>
      </c>
      <c r="F82" t="s">
        <v>12</v>
      </c>
      <c r="G82">
        <v>3</v>
      </c>
      <c r="H82">
        <v>20000</v>
      </c>
      <c r="I82">
        <f t="shared" si="2"/>
        <v>60000</v>
      </c>
      <c r="J82">
        <f t="shared" si="3"/>
        <v>2</v>
      </c>
    </row>
    <row r="83" spans="1:10" x14ac:dyDescent="0.3">
      <c r="A83">
        <v>1082</v>
      </c>
      <c r="B83" t="s">
        <v>52</v>
      </c>
      <c r="C83" t="s">
        <v>16</v>
      </c>
      <c r="D83" t="s">
        <v>21</v>
      </c>
      <c r="E83" t="s">
        <v>14</v>
      </c>
      <c r="F83" t="s">
        <v>15</v>
      </c>
      <c r="G83">
        <v>2</v>
      </c>
      <c r="H83">
        <v>8500</v>
      </c>
      <c r="I83">
        <f t="shared" si="2"/>
        <v>17000</v>
      </c>
      <c r="J83">
        <f t="shared" si="3"/>
        <v>3</v>
      </c>
    </row>
    <row r="84" spans="1:10" x14ac:dyDescent="0.3">
      <c r="A84">
        <v>1083</v>
      </c>
      <c r="B84" t="s">
        <v>84</v>
      </c>
      <c r="C84" t="s">
        <v>19</v>
      </c>
      <c r="D84" t="s">
        <v>10</v>
      </c>
      <c r="E84" t="s">
        <v>11</v>
      </c>
      <c r="F84" t="s">
        <v>12</v>
      </c>
      <c r="G84">
        <v>6</v>
      </c>
      <c r="H84">
        <v>20000</v>
      </c>
      <c r="I84">
        <f t="shared" si="2"/>
        <v>120000</v>
      </c>
      <c r="J84">
        <f t="shared" si="3"/>
        <v>2</v>
      </c>
    </row>
    <row r="85" spans="1:10" x14ac:dyDescent="0.3">
      <c r="A85">
        <v>1084</v>
      </c>
      <c r="B85" t="s">
        <v>58</v>
      </c>
      <c r="C85" t="s">
        <v>19</v>
      </c>
      <c r="D85" t="s">
        <v>31</v>
      </c>
      <c r="E85" t="s">
        <v>14</v>
      </c>
      <c r="F85" t="s">
        <v>15</v>
      </c>
      <c r="G85">
        <v>3</v>
      </c>
      <c r="H85">
        <v>8500</v>
      </c>
      <c r="I85">
        <f t="shared" si="2"/>
        <v>25500</v>
      </c>
      <c r="J85">
        <f t="shared" si="3"/>
        <v>2</v>
      </c>
    </row>
    <row r="86" spans="1:10" x14ac:dyDescent="0.3">
      <c r="A86">
        <v>1085</v>
      </c>
      <c r="B86" t="s">
        <v>85</v>
      </c>
      <c r="C86" t="s">
        <v>9</v>
      </c>
      <c r="D86" t="s">
        <v>21</v>
      </c>
      <c r="E86" t="s">
        <v>14</v>
      </c>
      <c r="F86" t="s">
        <v>15</v>
      </c>
      <c r="G86">
        <v>1</v>
      </c>
      <c r="H86">
        <v>8500</v>
      </c>
      <c r="I86">
        <f t="shared" si="2"/>
        <v>8500</v>
      </c>
      <c r="J86">
        <f t="shared" si="3"/>
        <v>2</v>
      </c>
    </row>
    <row r="87" spans="1:10" x14ac:dyDescent="0.3">
      <c r="A87">
        <v>1086</v>
      </c>
      <c r="B87" t="s">
        <v>85</v>
      </c>
      <c r="C87" t="s">
        <v>9</v>
      </c>
      <c r="D87" t="s">
        <v>31</v>
      </c>
      <c r="E87" t="s">
        <v>17</v>
      </c>
      <c r="F87" t="s">
        <v>15</v>
      </c>
      <c r="G87">
        <v>6</v>
      </c>
      <c r="H87">
        <v>25000</v>
      </c>
      <c r="I87">
        <f t="shared" si="2"/>
        <v>150000</v>
      </c>
      <c r="J87">
        <f t="shared" si="3"/>
        <v>2</v>
      </c>
    </row>
    <row r="88" spans="1:10" x14ac:dyDescent="0.3">
      <c r="A88">
        <v>1087</v>
      </c>
      <c r="B88" t="s">
        <v>86</v>
      </c>
      <c r="C88" t="s">
        <v>9</v>
      </c>
      <c r="D88" t="s">
        <v>29</v>
      </c>
      <c r="E88" t="s">
        <v>22</v>
      </c>
      <c r="F88" t="s">
        <v>12</v>
      </c>
      <c r="G88">
        <v>5</v>
      </c>
      <c r="H88">
        <v>12000</v>
      </c>
      <c r="I88">
        <f t="shared" si="2"/>
        <v>60000</v>
      </c>
      <c r="J88">
        <f t="shared" si="3"/>
        <v>2</v>
      </c>
    </row>
    <row r="89" spans="1:10" x14ac:dyDescent="0.3">
      <c r="A89">
        <v>1088</v>
      </c>
      <c r="B89" t="s">
        <v>37</v>
      </c>
      <c r="C89" t="s">
        <v>19</v>
      </c>
      <c r="D89" t="s">
        <v>10</v>
      </c>
      <c r="E89" t="s">
        <v>24</v>
      </c>
      <c r="F89" t="s">
        <v>15</v>
      </c>
      <c r="G89">
        <v>2</v>
      </c>
      <c r="H89">
        <v>4500</v>
      </c>
      <c r="I89">
        <f t="shared" si="2"/>
        <v>9000</v>
      </c>
      <c r="J89">
        <f t="shared" si="3"/>
        <v>3</v>
      </c>
    </row>
    <row r="90" spans="1:10" x14ac:dyDescent="0.3">
      <c r="A90">
        <v>1089</v>
      </c>
      <c r="B90" t="s">
        <v>45</v>
      </c>
      <c r="C90" t="s">
        <v>9</v>
      </c>
      <c r="D90" t="s">
        <v>29</v>
      </c>
      <c r="E90" t="s">
        <v>17</v>
      </c>
      <c r="F90" t="s">
        <v>15</v>
      </c>
      <c r="G90">
        <v>1</v>
      </c>
      <c r="H90">
        <v>25000</v>
      </c>
      <c r="I90">
        <f t="shared" si="2"/>
        <v>25000</v>
      </c>
      <c r="J90">
        <f t="shared" si="3"/>
        <v>3</v>
      </c>
    </row>
    <row r="91" spans="1:10" x14ac:dyDescent="0.3">
      <c r="A91">
        <v>1090</v>
      </c>
      <c r="B91" t="s">
        <v>41</v>
      </c>
      <c r="C91" t="s">
        <v>19</v>
      </c>
      <c r="D91" t="s">
        <v>21</v>
      </c>
      <c r="E91" t="s">
        <v>24</v>
      </c>
      <c r="F91" t="s">
        <v>15</v>
      </c>
      <c r="G91">
        <v>2</v>
      </c>
      <c r="H91">
        <v>4500</v>
      </c>
      <c r="I91">
        <f t="shared" si="2"/>
        <v>9000</v>
      </c>
      <c r="J91">
        <f t="shared" si="3"/>
        <v>1</v>
      </c>
    </row>
    <row r="92" spans="1:10" x14ac:dyDescent="0.3">
      <c r="A92">
        <v>1091</v>
      </c>
      <c r="B92" t="s">
        <v>77</v>
      </c>
      <c r="C92" t="s">
        <v>9</v>
      </c>
      <c r="D92" t="s">
        <v>31</v>
      </c>
      <c r="E92" t="s">
        <v>34</v>
      </c>
      <c r="F92" t="s">
        <v>12</v>
      </c>
      <c r="G92">
        <v>3</v>
      </c>
      <c r="H92">
        <v>55000</v>
      </c>
      <c r="I92">
        <f t="shared" si="2"/>
        <v>165000</v>
      </c>
      <c r="J92">
        <f t="shared" si="3"/>
        <v>1</v>
      </c>
    </row>
    <row r="93" spans="1:10" x14ac:dyDescent="0.3">
      <c r="A93">
        <v>1092</v>
      </c>
      <c r="B93" t="s">
        <v>18</v>
      </c>
      <c r="C93" t="s">
        <v>16</v>
      </c>
      <c r="D93" t="s">
        <v>10</v>
      </c>
      <c r="E93" t="s">
        <v>24</v>
      </c>
      <c r="F93" t="s">
        <v>15</v>
      </c>
      <c r="G93">
        <v>1</v>
      </c>
      <c r="H93">
        <v>4500</v>
      </c>
      <c r="I93">
        <f t="shared" si="2"/>
        <v>4500</v>
      </c>
      <c r="J93">
        <f t="shared" si="3"/>
        <v>1</v>
      </c>
    </row>
    <row r="94" spans="1:10" x14ac:dyDescent="0.3">
      <c r="A94">
        <v>1093</v>
      </c>
      <c r="B94" t="s">
        <v>87</v>
      </c>
      <c r="C94" t="s">
        <v>9</v>
      </c>
      <c r="D94" t="s">
        <v>31</v>
      </c>
      <c r="E94" t="s">
        <v>24</v>
      </c>
      <c r="F94" t="s">
        <v>15</v>
      </c>
      <c r="G94">
        <v>3</v>
      </c>
      <c r="H94">
        <v>4500</v>
      </c>
      <c r="I94">
        <f t="shared" si="2"/>
        <v>13500</v>
      </c>
      <c r="J94">
        <f t="shared" si="3"/>
        <v>3</v>
      </c>
    </row>
    <row r="95" spans="1:10" x14ac:dyDescent="0.3">
      <c r="A95">
        <v>1094</v>
      </c>
      <c r="B95" t="s">
        <v>56</v>
      </c>
      <c r="C95" t="s">
        <v>16</v>
      </c>
      <c r="D95" t="s">
        <v>29</v>
      </c>
      <c r="E95" t="s">
        <v>24</v>
      </c>
      <c r="F95" t="s">
        <v>15</v>
      </c>
      <c r="G95">
        <v>3</v>
      </c>
      <c r="H95">
        <v>4500</v>
      </c>
      <c r="I95">
        <f t="shared" si="2"/>
        <v>13500</v>
      </c>
      <c r="J95">
        <f t="shared" si="3"/>
        <v>2</v>
      </c>
    </row>
    <row r="96" spans="1:10" x14ac:dyDescent="0.3">
      <c r="A96">
        <v>1095</v>
      </c>
      <c r="B96" t="s">
        <v>88</v>
      </c>
      <c r="C96" t="s">
        <v>16</v>
      </c>
      <c r="D96" t="s">
        <v>31</v>
      </c>
      <c r="E96" t="s">
        <v>34</v>
      </c>
      <c r="F96" t="s">
        <v>12</v>
      </c>
      <c r="G96">
        <v>2</v>
      </c>
      <c r="H96">
        <v>55000</v>
      </c>
      <c r="I96">
        <f t="shared" si="2"/>
        <v>110000</v>
      </c>
      <c r="J96">
        <f t="shared" si="3"/>
        <v>1</v>
      </c>
    </row>
    <row r="97" spans="1:13" x14ac:dyDescent="0.3">
      <c r="A97">
        <v>1096</v>
      </c>
      <c r="B97" t="s">
        <v>77</v>
      </c>
      <c r="C97" t="s">
        <v>16</v>
      </c>
      <c r="D97" t="s">
        <v>10</v>
      </c>
      <c r="E97" t="s">
        <v>24</v>
      </c>
      <c r="F97" t="s">
        <v>15</v>
      </c>
      <c r="G97">
        <v>4</v>
      </c>
      <c r="H97">
        <v>4500</v>
      </c>
      <c r="I97">
        <f t="shared" si="2"/>
        <v>18000</v>
      </c>
      <c r="J97">
        <f t="shared" si="3"/>
        <v>1</v>
      </c>
    </row>
    <row r="98" spans="1:13" x14ac:dyDescent="0.3">
      <c r="A98">
        <v>1097</v>
      </c>
      <c r="B98" t="s">
        <v>89</v>
      </c>
      <c r="C98" t="s">
        <v>26</v>
      </c>
      <c r="D98" t="s">
        <v>31</v>
      </c>
      <c r="E98" t="s">
        <v>22</v>
      </c>
      <c r="F98" t="s">
        <v>12</v>
      </c>
      <c r="G98">
        <v>5</v>
      </c>
      <c r="H98">
        <v>12000</v>
      </c>
      <c r="I98">
        <f t="shared" si="2"/>
        <v>60000</v>
      </c>
      <c r="J98">
        <f t="shared" si="3"/>
        <v>2</v>
      </c>
    </row>
    <row r="99" spans="1:13" x14ac:dyDescent="0.3">
      <c r="A99">
        <v>1098</v>
      </c>
      <c r="B99" t="s">
        <v>90</v>
      </c>
      <c r="C99" t="s">
        <v>9</v>
      </c>
      <c r="D99" t="s">
        <v>21</v>
      </c>
      <c r="E99" t="s">
        <v>34</v>
      </c>
      <c r="F99" t="s">
        <v>12</v>
      </c>
      <c r="G99">
        <v>1</v>
      </c>
      <c r="H99">
        <v>55000</v>
      </c>
      <c r="I99">
        <f t="shared" si="2"/>
        <v>55000</v>
      </c>
      <c r="J99">
        <f t="shared" si="3"/>
        <v>2</v>
      </c>
    </row>
    <row r="100" spans="1:13" x14ac:dyDescent="0.3">
      <c r="A100">
        <v>1099</v>
      </c>
      <c r="B100" t="s">
        <v>58</v>
      </c>
      <c r="C100" t="s">
        <v>26</v>
      </c>
      <c r="D100" t="s">
        <v>10</v>
      </c>
      <c r="E100" t="s">
        <v>22</v>
      </c>
      <c r="F100" t="s">
        <v>12</v>
      </c>
      <c r="G100">
        <v>2</v>
      </c>
      <c r="H100">
        <v>12000</v>
      </c>
      <c r="I100">
        <f t="shared" si="2"/>
        <v>24000</v>
      </c>
      <c r="J100">
        <f t="shared" si="3"/>
        <v>2</v>
      </c>
    </row>
    <row r="101" spans="1:13" x14ac:dyDescent="0.3">
      <c r="A101">
        <v>1100</v>
      </c>
      <c r="B101" t="s">
        <v>60</v>
      </c>
      <c r="C101" t="s">
        <v>19</v>
      </c>
      <c r="D101" t="s">
        <v>29</v>
      </c>
      <c r="E101" t="s">
        <v>14</v>
      </c>
      <c r="F101" t="s">
        <v>15</v>
      </c>
      <c r="G101">
        <v>5</v>
      </c>
      <c r="H101">
        <v>8500</v>
      </c>
      <c r="I101">
        <f t="shared" si="2"/>
        <v>42500</v>
      </c>
      <c r="J101">
        <f t="shared" si="3"/>
        <v>1</v>
      </c>
    </row>
    <row r="109" spans="1:13" ht="28.8" x14ac:dyDescent="0.55000000000000004">
      <c r="J109" s="11" t="s">
        <v>109</v>
      </c>
      <c r="K109" s="11"/>
      <c r="L109" s="11"/>
      <c r="M109" s="11"/>
    </row>
    <row r="110" spans="1:13" ht="28.8" x14ac:dyDescent="0.55000000000000004">
      <c r="J110" s="8"/>
      <c r="K110" s="8"/>
      <c r="L110" s="8" t="s">
        <v>110</v>
      </c>
      <c r="M110" s="8"/>
    </row>
    <row r="111" spans="1:13" ht="28.8" x14ac:dyDescent="0.55000000000000004">
      <c r="J111" s="8"/>
      <c r="K111" s="8"/>
      <c r="L111" s="8" t="s">
        <v>111</v>
      </c>
      <c r="M111" s="8"/>
    </row>
    <row r="112" spans="1:13" ht="28.8" x14ac:dyDescent="0.55000000000000004">
      <c r="J112" s="8"/>
      <c r="K112" s="8"/>
      <c r="L112" s="8" t="s">
        <v>112</v>
      </c>
      <c r="M112" s="8"/>
    </row>
    <row r="113" spans="13:13" x14ac:dyDescent="0.3">
      <c r="M113"/>
    </row>
    <row r="114" spans="13:13" x14ac:dyDescent="0.3">
      <c r="M114"/>
    </row>
    <row r="115" spans="13:13" x14ac:dyDescent="0.3">
      <c r="M115"/>
    </row>
    <row r="116" spans="13:13" x14ac:dyDescent="0.3">
      <c r="M116"/>
    </row>
  </sheetData>
  <mergeCells count="7">
    <mergeCell ref="R20:S20"/>
    <mergeCell ref="O34:P34"/>
    <mergeCell ref="M1:N1"/>
    <mergeCell ref="J109:M109"/>
    <mergeCell ref="L20:M20"/>
    <mergeCell ref="L33:M33"/>
    <mergeCell ref="O20:P20"/>
  </mergeCells>
  <pageMargins left="0.75" right="0.75" top="1" bottom="1" header="0.5" footer="0.5"/>
  <drawing r:id="rId6"/>
  <tableParts count="1">
    <tablePart r:id="rId7"/>
  </tableParts>
  <extLst>
    <ext xmlns:x15="http://schemas.microsoft.com/office/spreadsheetml/2010/11/main" uri="{3A4CF648-6AED-40f4-86FF-DC5316D8AED3}">
      <x14:slicerList xmlns:x14="http://schemas.microsoft.com/office/spreadsheetml/2009/9/main">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Nivedha Ramesh</cp:lastModifiedBy>
  <dcterms:created xsi:type="dcterms:W3CDTF">2025-12-16T05:24:34Z</dcterms:created>
  <dcterms:modified xsi:type="dcterms:W3CDTF">2026-01-06T15:16:22Z</dcterms:modified>
</cp:coreProperties>
</file>